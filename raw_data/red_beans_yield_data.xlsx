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Benjamin\Documents\Bukombe_manuscripts\OA\"/>
    </mc:Choice>
  </mc:AlternateContent>
  <xr:revisionPtr revIDLastSave="0" documentId="13_ncr:1_{2C5F0013-B98A-4640-AF35-036874E7EFB4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readme" sheetId="2" r:id="rId1"/>
    <sheet name="data" sheetId="8" r:id="rId2"/>
    <sheet name="treatment" sheetId="7" r:id="rId3"/>
    <sheet name="original" sheetId="1" r:id="rId4"/>
    <sheet name="Sheet1" sheetId="4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8" l="1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2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9" i="1"/>
  <c r="G3" i="1"/>
  <c r="G4" i="1"/>
  <c r="G5" i="1"/>
  <c r="G6" i="1"/>
  <c r="G7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2" i="1"/>
</calcChain>
</file>

<file path=xl/sharedStrings.xml><?xml version="1.0" encoding="utf-8"?>
<sst xmlns="http://schemas.openxmlformats.org/spreadsheetml/2006/main" count="661" uniqueCount="80">
  <si>
    <t>rep</t>
  </si>
  <si>
    <t>germination rate</t>
  </si>
  <si>
    <t>harvested plants (numbers)</t>
  </si>
  <si>
    <t>total_biomass(kg)</t>
  </si>
  <si>
    <t>grain(kg)</t>
  </si>
  <si>
    <t>T0</t>
  </si>
  <si>
    <t>R1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</si>
  <si>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</si>
  <si>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</si>
  <si>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</si>
  <si>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</si>
  <si>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</si>
  <si>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</si>
  <si>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</si>
  <si>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</si>
  <si>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</si>
  <si>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</si>
  <si>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</si>
  <si>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</si>
  <si>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</si>
  <si>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</si>
  <si>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</si>
  <si>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</si>
  <si>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</si>
  <si>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R2</t>
  </si>
  <si>
    <t>R3</t>
  </si>
  <si>
    <t>R4</t>
  </si>
  <si>
    <t>R5</t>
  </si>
  <si>
    <t>R6</t>
  </si>
  <si>
    <t>TID</t>
  </si>
  <si>
    <t>OSL  rate</t>
  </si>
  <si>
    <t>Freq</t>
  </si>
  <si>
    <t>Planting date</t>
  </si>
  <si>
    <t>2nd applicat</t>
  </si>
  <si>
    <t>3rd applicat</t>
  </si>
  <si>
    <t>Inorganic</t>
  </si>
  <si>
    <t>n.a</t>
  </si>
  <si>
    <t>n. a.</t>
  </si>
  <si>
    <t>OSL31&amp;32 (250g/Ha/ three applications)</t>
  </si>
  <si>
    <t>250g/Ha</t>
  </si>
  <si>
    <t>30th day</t>
  </si>
  <si>
    <t>60th day</t>
  </si>
  <si>
    <t>OSL31&amp;32 (250g/Ha/ two applications)</t>
  </si>
  <si>
    <t>OSL31 &amp; 32 (250g/Ha/ three applications) &amp; Inorganic fertilizer (50%)</t>
  </si>
  <si>
    <t>OSL31 &amp; 32 (250g/Ha/ three applications) &amp; Inorganic fertilizer (70%)</t>
  </si>
  <si>
    <t>Organic fertilizer &amp; Inorganic fertilizer</t>
  </si>
  <si>
    <t>n.a.</t>
  </si>
  <si>
    <t>Organic fertilizer</t>
  </si>
  <si>
    <t>OSL31&amp;32 (250g/Ha/ two application) &amp; 100% inorganic fertilizer</t>
  </si>
  <si>
    <t>OSL31 &amp; 32 (250g/Ha/ three applications) &amp; inorganic fertilizer (100%)</t>
  </si>
  <si>
    <t>OSL31 &amp; 32 (250g/Ha/one application)</t>
  </si>
  <si>
    <t>OSL31 &amp; 32 (250g/Ha/ one application) &amp; 100% inorganic</t>
  </si>
  <si>
    <t>OSL31 &amp; 32 (250g/Ha/ one application) &amp; 100% inorganic &amp; organic manure</t>
  </si>
  <si>
    <t>OSL31&amp;32 (250ga/Ha/ two applications) &amp; 100% Inorganic fertilizer &amp; Organic manure</t>
  </si>
  <si>
    <t>OSL31&amp;32 (250ga/Ha/ one application) &amp; 50% inorganic fertilizer</t>
  </si>
  <si>
    <t>OSL31&amp;32 (250g/Ha/ three applications) &amp; inorganic fertilizer (100%) organic manure</t>
  </si>
  <si>
    <t>OSL31 &amp; 32 (250ga/Ha/ one application) &amp; 70% inorganic fertilizer</t>
  </si>
  <si>
    <t>OSL31 &amp; 32 (250g/Ha/ two application) &amp; 70% inorganic fertilizer</t>
  </si>
  <si>
    <t>OSL31 &amp; 32 (250g/Ha/ two application) &amp; 50% inorganic fertilizer</t>
  </si>
  <si>
    <t>kg_ha</t>
  </si>
  <si>
    <t>Row Labels</t>
  </si>
  <si>
    <t>Grand Total</t>
  </si>
  <si>
    <t>Average of kg_ha</t>
  </si>
  <si>
    <t>StdDev of kg_ha</t>
  </si>
  <si>
    <t>app_time</t>
  </si>
  <si>
    <t>Three application</t>
  </si>
  <si>
    <t>One application</t>
  </si>
  <si>
    <t>Two application</t>
  </si>
  <si>
    <t>Treatment</t>
  </si>
  <si>
    <t>id</t>
  </si>
  <si>
    <t>yield_kg_ha</t>
  </si>
  <si>
    <t>treatment</t>
  </si>
  <si>
    <t>replicate</t>
  </si>
  <si>
    <t>plant_number</t>
  </si>
  <si>
    <t>total_biomass</t>
  </si>
  <si>
    <t>grain_kg</t>
  </si>
  <si>
    <t>germination_rate</t>
  </si>
  <si>
    <t>OSL31&amp;32 (250g/Ha/ three applications) &amp; inorganic fertilizer (100%) &amp; organic manure</t>
  </si>
  <si>
    <t>total_biomass_t_ha</t>
  </si>
  <si>
    <t>Yield_t_ha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</si>
</sst>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0.0"/>
  </numFmts>
  <fonts count="8" x14ac:knownFonts="1">
    <font>
      <sz val="11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AD46"/>
        <bgColor rgb="FF70AD4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2">
    <xf numFmtId="0" fontId="0" fillId="0" borderId="0">
      <alignment vertical="center"/>
    </xf>
    <xf numFmtId="43" fontId="6" fillId="0" borderId="0" applyFont="0" applyFill="0" applyBorder="0" applyAlignment="0" applyProtection="0"/>
  </cellStyleXfs>
  <cellXfs count="25">
    <xf numFmtId="0" fontId="0" fillId="0" borderId="0" xfId="0">
      <alignment vertical="center"/>
    </xf>
    <xf numFmtId="0" fontId="2" fillId="0" borderId="1" xfId="0" applyFont="1" applyBorder="1" applyAlignment="1"/>
    <xf numFmtId="0" fontId="2" fillId="2" borderId="1" xfId="0" applyFont="1" applyFill="1" applyBorder="1" applyAlignment="1"/>
    <xf numFmtId="0" fontId="3" fillId="0" borderId="1" xfId="0" applyFont="1" applyBorder="1" applyAlignment="1"/>
    <xf numFmtId="0" fontId="2" fillId="0" borderId="1" xfId="0" applyFont="1" applyBorder="1" applyAlignment="1">
      <alignment horizontal="left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/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>
      <alignment vertical="center"/>
    </xf>
    <xf numFmtId="164" fontId="0" fillId="0" borderId="5" xfId="0" applyNumberFormat="1" applyBorder="1">
      <alignment vertical="center"/>
    </xf>
    <xf numFmtId="0" fontId="0" fillId="0" borderId="3" xfId="0" applyBorder="1" applyAlignment="1">
      <alignment horizontal="left" vertical="center"/>
    </xf>
    <xf numFmtId="164" fontId="0" fillId="0" borderId="3" xfId="0" applyNumberFormat="1" applyBorder="1">
      <alignment vertical="center"/>
    </xf>
    <xf numFmtId="164" fontId="0" fillId="0" borderId="6" xfId="0" applyNumberFormat="1" applyBorder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7" xfId="0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>
      <alignment vertical="center"/>
    </xf>
    <xf numFmtId="43" fontId="7" fillId="0" borderId="0" xfId="1" applyFont="1"/>
  </cellXfs>
  <cellStyles count="2">
    <cellStyle name="Comma" xfId="1" builtinId="3"/>
    <cellStyle name="Normal" xfId="0" builtinId="0"/>
  </cellStyles>
  <dxfs count="12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0.0"/>
    </dxf>
    <dxf>
      <fill>
        <patternFill patternType="none">
          <fgColor indexed="64"/>
          <bgColor auto="1"/>
        </patternFill>
      </fill>
    </dxf>
    <dxf>
      <fill>
        <patternFill patternType="solid">
          <fgColor rgb="FFF8F9FA"/>
          <bgColor rgb="FFF8F9FA"/>
        </patternFill>
      </fill>
      <border>
        <left/>
        <right/>
        <top/>
        <bottom/>
      </border>
    </dxf>
    <dxf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ill>
        <patternFill patternType="solid">
          <fgColor rgb="FF5B3F86"/>
          <bgColor rgb="FF5B3F86"/>
        </patternFill>
      </fill>
      <border>
        <left/>
        <right/>
        <top/>
        <bottom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d_beans_yield_data-style" pivot="0" count="4" xr9:uid="{00000000-0011-0000-FFFF-FFFF00000000}">
      <tableStyleElement type="wholeTable" size="0" dxfId="11"/>
      <tableStyleElement type="headerRow" dxfId="10"/>
      <tableStyleElement type="firstRowStripe" dxfId="9"/>
      <tableStyleElement type="second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www.wps.cn/officeDocument/2020/cellImage" Target="NUL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" refreshedDate="46183.431026736114" createdVersion="8" refreshedVersion="8" minRefreshableVersion="3" recordCount="108" xr:uid="{B36076DC-E08D-46F1-8DCD-62188C96E2B7}">
  <cacheSource type="worksheet">
    <worksheetSource ref="A1:G109" sheet="original"/>
  </cacheSource>
  <cacheFields count="7">
    <cacheField name="tr" numFmtId="0">
      <sharedItems count="18">
        <s v="T0"/>
        <s v="T1"/>
        <s v="T2"/>
        <s v="T3"/>
        <s v="T4"/>
        <s v="T5"/>
        <s v="T6"/>
        <s v="T7"/>
        <s v="T8"/>
        <s v="T9"/>
        <s v="T10"/>
        <s v="T11"/>
        <s v="T12"/>
        <s v="T13"/>
        <s v="T14"/>
        <s v="T15"/>
        <s v="T16"/>
        <s v="T17"/>
      </sharedItems>
    </cacheField>
    <cacheField name="rep" numFmtId="0">
      <sharedItems/>
    </cacheField>
    <cacheField name="germination rate" numFmtId="0">
      <sharedItems containsSemiMixedTypes="0" containsString="0" containsNumber="1" containsInteger="1" minValue="261" maxValue="490"/>
    </cacheField>
    <cacheField name="harvested plants (numbers)" numFmtId="0">
      <sharedItems containsSemiMixedTypes="0" containsString="0" containsNumber="1" containsInteger="1" minValue="229" maxValue="473"/>
    </cacheField>
    <cacheField name="total_biomass(kg)" numFmtId="0">
      <sharedItems containsSemiMixedTypes="0" containsString="0" containsNumber="1" minValue="2.75" maxValue="11.17"/>
    </cacheField>
    <cacheField name="grain(kg)" numFmtId="0">
      <sharedItems containsSemiMixedTypes="0" containsString="0" containsNumber="1" minValue="1.4" maxValue="6"/>
    </cacheField>
    <cacheField name="kg_ha" numFmtId="0">
      <sharedItems containsSemiMixedTypes="0" containsString="0" containsNumber="1" minValue="560" maxValue="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s v="R1"/>
    <n v="437"/>
    <n v="426"/>
    <n v="5.84"/>
    <n v="2.57"/>
    <n v="1028"/>
  </r>
  <r>
    <x v="1"/>
    <s v="R1"/>
    <n v="449"/>
    <n v="436"/>
    <n v="7.52"/>
    <n v="3.9"/>
    <n v="1560"/>
  </r>
  <r>
    <x v="2"/>
    <s v="R1"/>
    <n v="450"/>
    <n v="413"/>
    <n v="5.22"/>
    <n v="2.4"/>
    <n v="960"/>
  </r>
  <r>
    <x v="3"/>
    <s v="R1"/>
    <n v="334"/>
    <n v="473"/>
    <n v="8"/>
    <n v="4.3"/>
    <n v="1720"/>
  </r>
  <r>
    <x v="4"/>
    <s v="R1"/>
    <n v="439"/>
    <n v="424"/>
    <n v="6.96"/>
    <n v="3.52"/>
    <n v="1408"/>
  </r>
  <r>
    <x v="5"/>
    <s v="R1"/>
    <n v="391"/>
    <n v="417"/>
    <n v="9.06"/>
    <n v="3.84"/>
    <n v="1536"/>
  </r>
  <r>
    <x v="6"/>
    <s v="R1"/>
    <n v="375"/>
    <n v="433"/>
    <n v="7.55"/>
    <n v="3.73"/>
    <n v="1492"/>
  </r>
  <r>
    <x v="7"/>
    <s v="R1"/>
    <n v="435"/>
    <n v="428"/>
    <n v="7.79"/>
    <n v="3.79"/>
    <n v="1516"/>
  </r>
  <r>
    <x v="8"/>
    <s v="R1"/>
    <n v="456"/>
    <n v="430"/>
    <n v="8.77"/>
    <n v="4.1100000000000003"/>
    <n v="1644"/>
  </r>
  <r>
    <x v="9"/>
    <s v="R1"/>
    <n v="442"/>
    <n v="440"/>
    <n v="4.21"/>
    <n v="2.17"/>
    <n v="868"/>
  </r>
  <r>
    <x v="10"/>
    <s v="R1"/>
    <n v="435"/>
    <n v="424"/>
    <n v="6.79"/>
    <n v="3.74"/>
    <n v="1496"/>
  </r>
  <r>
    <x v="11"/>
    <s v="R1"/>
    <n v="337"/>
    <n v="334"/>
    <n v="8.9499999999999993"/>
    <n v="4.71"/>
    <n v="1884"/>
  </r>
  <r>
    <x v="12"/>
    <s v="R1"/>
    <n v="427"/>
    <n v="365"/>
    <n v="8.91"/>
    <n v="4.57"/>
    <n v="1828"/>
  </r>
  <r>
    <x v="13"/>
    <s v="R1"/>
    <n v="428"/>
    <n v="410"/>
    <n v="7.19"/>
    <n v="3.79"/>
    <n v="1516"/>
  </r>
  <r>
    <x v="14"/>
    <s v="R1"/>
    <n v="463"/>
    <n v="407"/>
    <n v="8.7200000000000006"/>
    <n v="4.84"/>
    <n v="1936"/>
  </r>
  <r>
    <x v="15"/>
    <s v="R1"/>
    <n v="425"/>
    <n v="399"/>
    <n v="4.75"/>
    <n v="2.52"/>
    <n v="1008"/>
  </r>
  <r>
    <x v="16"/>
    <s v="R1"/>
    <n v="362"/>
    <n v="360"/>
    <n v="5.8"/>
    <n v="2.58"/>
    <n v="1032"/>
  </r>
  <r>
    <x v="17"/>
    <s v="R1"/>
    <n v="335"/>
    <n v="336"/>
    <n v="6.52"/>
    <n v="3.75"/>
    <n v="1500"/>
  </r>
  <r>
    <x v="0"/>
    <s v="R2"/>
    <n v="399"/>
    <n v="390"/>
    <n v="3.91"/>
    <n v="1.65"/>
    <n v="660"/>
  </r>
  <r>
    <x v="1"/>
    <s v="R2"/>
    <n v="438"/>
    <n v="413"/>
    <n v="4.3899999999999997"/>
    <n v="2.2999999999999998"/>
    <n v="920"/>
  </r>
  <r>
    <x v="2"/>
    <s v="R2"/>
    <n v="403"/>
    <n v="402"/>
    <n v="7"/>
    <n v="3.46"/>
    <n v="1384"/>
  </r>
  <r>
    <x v="3"/>
    <s v="R2"/>
    <n v="429"/>
    <n v="420"/>
    <n v="7.93"/>
    <n v="3.88"/>
    <n v="1552"/>
  </r>
  <r>
    <x v="4"/>
    <s v="R2"/>
    <n v="455"/>
    <n v="425"/>
    <n v="9.41"/>
    <n v="4.88"/>
    <n v="1952"/>
  </r>
  <r>
    <x v="5"/>
    <s v="R2"/>
    <n v="450"/>
    <n v="412"/>
    <n v="10.11"/>
    <n v="4.0999999999999996"/>
    <n v="1640"/>
  </r>
  <r>
    <x v="6"/>
    <s v="R2"/>
    <n v="459"/>
    <n v="427"/>
    <n v="6.68"/>
    <n v="3.4"/>
    <n v="1360"/>
  </r>
  <r>
    <x v="7"/>
    <s v="R2"/>
    <n v="452"/>
    <n v="440"/>
    <n v="7.12"/>
    <n v="3.5"/>
    <n v="1400"/>
  </r>
  <r>
    <x v="8"/>
    <s v="R2"/>
    <n v="427"/>
    <n v="403"/>
    <n v="7.68"/>
    <n v="3.9"/>
    <n v="1560"/>
  </r>
  <r>
    <x v="9"/>
    <s v="R2"/>
    <n v="410"/>
    <n v="405"/>
    <n v="5.22"/>
    <n v="2.7"/>
    <n v="1080"/>
  </r>
  <r>
    <x v="10"/>
    <s v="R2"/>
    <n v="443"/>
    <n v="440"/>
    <n v="8.14"/>
    <n v="4.62"/>
    <n v="1848"/>
  </r>
  <r>
    <x v="11"/>
    <s v="R2"/>
    <n v="436"/>
    <n v="436"/>
    <n v="8.44"/>
    <n v="4.96"/>
    <n v="1984"/>
  </r>
  <r>
    <x v="12"/>
    <s v="R2"/>
    <n v="446"/>
    <n v="444"/>
    <n v="10.84"/>
    <n v="5.18"/>
    <n v="2072"/>
  </r>
  <r>
    <x v="13"/>
    <s v="R2"/>
    <n v="398"/>
    <n v="345"/>
    <n v="7.91"/>
    <n v="4.2"/>
    <n v="1680"/>
  </r>
  <r>
    <x v="14"/>
    <s v="R2"/>
    <n v="430"/>
    <n v="425"/>
    <n v="10.64"/>
    <n v="5.5"/>
    <n v="2200"/>
  </r>
  <r>
    <x v="15"/>
    <s v="R2"/>
    <n v="400"/>
    <n v="361"/>
    <n v="4.55"/>
    <n v="2.88"/>
    <n v="1152"/>
  </r>
  <r>
    <x v="16"/>
    <s v="R2"/>
    <n v="395"/>
    <n v="354"/>
    <n v="5.05"/>
    <n v="2.82"/>
    <n v="1128"/>
  </r>
  <r>
    <x v="17"/>
    <s v="R2"/>
    <n v="467"/>
    <n v="418"/>
    <n v="6.45"/>
    <n v="3.32"/>
    <n v="1328"/>
  </r>
  <r>
    <x v="0"/>
    <s v="R3"/>
    <n v="425"/>
    <n v="410"/>
    <n v="3.51"/>
    <n v="1.4"/>
    <n v="560"/>
  </r>
  <r>
    <x v="1"/>
    <s v="R3"/>
    <n v="397"/>
    <n v="395"/>
    <n v="5.78"/>
    <n v="3.04"/>
    <n v="1216"/>
  </r>
  <r>
    <x v="2"/>
    <s v="R3"/>
    <n v="423"/>
    <n v="416"/>
    <n v="5.98"/>
    <n v="3.06"/>
    <n v="1224"/>
  </r>
  <r>
    <x v="3"/>
    <s v="R3"/>
    <n v="446"/>
    <n v="403"/>
    <n v="7.25"/>
    <n v="4.0999999999999996"/>
    <n v="1640"/>
  </r>
  <r>
    <x v="4"/>
    <s v="R3"/>
    <n v="457"/>
    <n v="449"/>
    <n v="7.08"/>
    <n v="3.77"/>
    <n v="1508"/>
  </r>
  <r>
    <x v="5"/>
    <s v="R3"/>
    <n v="420"/>
    <n v="407"/>
    <n v="8.7200000000000006"/>
    <n v="3.66"/>
    <n v="1464"/>
  </r>
  <r>
    <x v="6"/>
    <s v="R3"/>
    <n v="490"/>
    <n v="403"/>
    <n v="5.7"/>
    <n v="2.8"/>
    <n v="1120"/>
  </r>
  <r>
    <x v="7"/>
    <s v="R3"/>
    <n v="463"/>
    <n v="426"/>
    <n v="8.41"/>
    <n v="4.5"/>
    <n v="1800"/>
  </r>
  <r>
    <x v="8"/>
    <s v="R3"/>
    <n v="433"/>
    <n v="403"/>
    <n v="7.34"/>
    <n v="3.84"/>
    <n v="1536"/>
  </r>
  <r>
    <x v="9"/>
    <s v="R3"/>
    <n v="442"/>
    <n v="429"/>
    <n v="5.31"/>
    <n v="3.2"/>
    <n v="1280"/>
  </r>
  <r>
    <x v="10"/>
    <s v="R3"/>
    <n v="370"/>
    <n v="365"/>
    <n v="8.98"/>
    <n v="4.3"/>
    <n v="1720"/>
  </r>
  <r>
    <x v="11"/>
    <s v="R3"/>
    <n v="474"/>
    <n v="430"/>
    <n v="9.7899999999999991"/>
    <n v="4.8"/>
    <n v="1920"/>
  </r>
  <r>
    <x v="12"/>
    <s v="R3"/>
    <n v="447"/>
    <n v="401"/>
    <n v="10.99"/>
    <n v="5.77"/>
    <n v="2307.9999999999995"/>
  </r>
  <r>
    <x v="13"/>
    <s v="R3"/>
    <n v="422"/>
    <n v="417"/>
    <n v="10.199999999999999"/>
    <n v="4.88"/>
    <n v="1952"/>
  </r>
  <r>
    <x v="14"/>
    <s v="R3"/>
    <n v="369"/>
    <n v="364"/>
    <n v="8.9700000000000006"/>
    <n v="4.5199999999999996"/>
    <n v="1807.9999999999998"/>
  </r>
  <r>
    <x v="15"/>
    <s v="R3"/>
    <n v="458"/>
    <n v="440"/>
    <n v="6.13"/>
    <n v="3.33"/>
    <n v="1332"/>
  </r>
  <r>
    <x v="16"/>
    <s v="R3"/>
    <n v="484"/>
    <n v="431"/>
    <n v="4.66"/>
    <n v="2.62"/>
    <n v="1048"/>
  </r>
  <r>
    <x v="17"/>
    <s v="R3"/>
    <n v="447"/>
    <n v="437"/>
    <n v="5.42"/>
    <n v="2.88"/>
    <n v="1152"/>
  </r>
  <r>
    <x v="0"/>
    <s v="R4"/>
    <n v="340"/>
    <n v="336"/>
    <n v="6.57"/>
    <n v="3.33"/>
    <n v="1332"/>
  </r>
  <r>
    <x v="1"/>
    <s v="R4"/>
    <n v="417"/>
    <n v="412"/>
    <n v="6.94"/>
    <n v="3.8"/>
    <n v="1520"/>
  </r>
  <r>
    <x v="2"/>
    <s v="R4"/>
    <n v="302"/>
    <n v="229"/>
    <n v="6.28"/>
    <n v="3.28"/>
    <n v="1312"/>
  </r>
  <r>
    <x v="3"/>
    <s v="R4"/>
    <n v="398"/>
    <n v="316"/>
    <n v="7.92"/>
    <n v="4.76"/>
    <n v="1904"/>
  </r>
  <r>
    <x v="4"/>
    <s v="R4"/>
    <n v="370"/>
    <n v="367"/>
    <n v="6.48"/>
    <n v="3.5"/>
    <n v="1400"/>
  </r>
  <r>
    <x v="5"/>
    <s v="R4"/>
    <n v="332"/>
    <n v="332"/>
    <n v="7.5"/>
    <n v="3.15"/>
    <n v="1260"/>
  </r>
  <r>
    <x v="6"/>
    <s v="R4"/>
    <n v="465"/>
    <n v="363"/>
    <n v="5.64"/>
    <n v="3.16"/>
    <n v="1264"/>
  </r>
  <r>
    <x v="7"/>
    <s v="R4"/>
    <n v="362"/>
    <n v="331"/>
    <n v="6.78"/>
    <n v="3.62"/>
    <n v="1448"/>
  </r>
  <r>
    <x v="8"/>
    <s v="R4"/>
    <n v="337"/>
    <n v="334"/>
    <n v="7.94"/>
    <n v="4"/>
    <n v="1600"/>
  </r>
  <r>
    <x v="9"/>
    <s v="R4"/>
    <n v="452"/>
    <n v="448"/>
    <n v="6.27"/>
    <n v="3.49"/>
    <n v="1396"/>
  </r>
  <r>
    <x v="10"/>
    <s v="R4"/>
    <n v="390"/>
    <n v="390"/>
    <n v="8.4"/>
    <n v="4.0999999999999996"/>
    <n v="1640"/>
  </r>
  <r>
    <x v="11"/>
    <s v="R4"/>
    <n v="448"/>
    <n v="440"/>
    <n v="10.51"/>
    <n v="5.66"/>
    <n v="2264"/>
  </r>
  <r>
    <x v="12"/>
    <s v="R4"/>
    <n v="365"/>
    <n v="362"/>
    <n v="7.7"/>
    <n v="4.12"/>
    <n v="1648"/>
  </r>
  <r>
    <x v="13"/>
    <s v="R4"/>
    <n v="452"/>
    <n v="407"/>
    <n v="6.2"/>
    <n v="3.39"/>
    <n v="1356"/>
  </r>
  <r>
    <x v="14"/>
    <s v="R4"/>
    <n v="412"/>
    <n v="406"/>
    <n v="8.57"/>
    <n v="4.6500000000000004"/>
    <n v="1860"/>
  </r>
  <r>
    <x v="15"/>
    <s v="R4"/>
    <n v="425"/>
    <n v="410"/>
    <n v="5.64"/>
    <n v="2.0299999999999998"/>
    <n v="811.99999999999989"/>
  </r>
  <r>
    <x v="16"/>
    <s v="R4"/>
    <n v="399"/>
    <n v="382"/>
    <n v="6.26"/>
    <n v="3.36"/>
    <n v="1344"/>
  </r>
  <r>
    <x v="17"/>
    <s v="R4"/>
    <n v="438"/>
    <n v="375"/>
    <n v="6.38"/>
    <n v="3.44"/>
    <n v="1376"/>
  </r>
  <r>
    <x v="0"/>
    <s v="R5"/>
    <n v="261"/>
    <n v="260"/>
    <n v="2.75"/>
    <n v="1.93"/>
    <n v="772"/>
  </r>
  <r>
    <x v="1"/>
    <s v="R5"/>
    <n v="416"/>
    <n v="385"/>
    <n v="4.3"/>
    <n v="2.2400000000000002"/>
    <n v="896.00000000000011"/>
  </r>
  <r>
    <x v="2"/>
    <s v="R5"/>
    <n v="456"/>
    <n v="456"/>
    <n v="4.58"/>
    <n v="2.9"/>
    <n v="1160"/>
  </r>
  <r>
    <x v="3"/>
    <s v="R5"/>
    <n v="453"/>
    <n v="443"/>
    <n v="8.3000000000000007"/>
    <n v="4.2"/>
    <n v="1680"/>
  </r>
  <r>
    <x v="4"/>
    <s v="R5"/>
    <n v="430"/>
    <n v="428"/>
    <n v="6"/>
    <n v="3.18"/>
    <n v="1272"/>
  </r>
  <r>
    <x v="5"/>
    <s v="R5"/>
    <n v="427"/>
    <n v="359"/>
    <n v="6.44"/>
    <n v="3.43"/>
    <n v="1372"/>
  </r>
  <r>
    <x v="6"/>
    <s v="R5"/>
    <n v="425"/>
    <n v="424"/>
    <n v="6"/>
    <n v="3.37"/>
    <n v="1348"/>
  </r>
  <r>
    <x v="7"/>
    <s v="R5"/>
    <n v="449"/>
    <n v="428"/>
    <n v="7.81"/>
    <n v="3.87"/>
    <n v="1548"/>
  </r>
  <r>
    <x v="8"/>
    <s v="R5"/>
    <n v="407"/>
    <n v="406"/>
    <n v="6.65"/>
    <n v="3.39"/>
    <n v="1356"/>
  </r>
  <r>
    <x v="9"/>
    <s v="R5"/>
    <n v="420"/>
    <n v="418"/>
    <n v="5.89"/>
    <n v="2.9"/>
    <n v="1160"/>
  </r>
  <r>
    <x v="10"/>
    <s v="R5"/>
    <n v="326"/>
    <n v="325"/>
    <n v="8.4"/>
    <n v="3.96"/>
    <n v="1584"/>
  </r>
  <r>
    <x v="11"/>
    <s v="R5"/>
    <n v="490"/>
    <n v="408"/>
    <n v="11.17"/>
    <n v="6"/>
    <n v="2400"/>
  </r>
  <r>
    <x v="12"/>
    <s v="R5"/>
    <n v="441"/>
    <n v="440"/>
    <n v="9.6300000000000008"/>
    <n v="5.28"/>
    <n v="2112"/>
  </r>
  <r>
    <x v="13"/>
    <s v="R5"/>
    <n v="404"/>
    <n v="372"/>
    <n v="6.63"/>
    <n v="3.77"/>
    <n v="1508"/>
  </r>
  <r>
    <x v="14"/>
    <s v="R5"/>
    <n v="424"/>
    <n v="337"/>
    <n v="7.96"/>
    <n v="4.24"/>
    <n v="1696"/>
  </r>
  <r>
    <x v="15"/>
    <s v="R5"/>
    <n v="409"/>
    <n v="407"/>
    <n v="6.43"/>
    <n v="2.78"/>
    <n v="1111.9999999999998"/>
  </r>
  <r>
    <x v="16"/>
    <s v="R5"/>
    <n v="405"/>
    <n v="351"/>
    <n v="5.63"/>
    <n v="2.84"/>
    <n v="1136"/>
  </r>
  <r>
    <x v="17"/>
    <s v="R5"/>
    <n v="480"/>
    <n v="363"/>
    <n v="4.78"/>
    <n v="2.62"/>
    <n v="1048"/>
  </r>
  <r>
    <x v="0"/>
    <s v="R6"/>
    <n v="351"/>
    <n v="350"/>
    <n v="4.07"/>
    <n v="2.09"/>
    <n v="836"/>
  </r>
  <r>
    <x v="1"/>
    <s v="R6"/>
    <n v="451"/>
    <n v="342"/>
    <n v="3.32"/>
    <n v="2.5"/>
    <n v="1000"/>
  </r>
  <r>
    <x v="2"/>
    <s v="R6"/>
    <n v="447"/>
    <n v="305"/>
    <n v="5.3"/>
    <n v="2.75"/>
    <n v="1100"/>
  </r>
  <r>
    <x v="3"/>
    <s v="R6"/>
    <n v="379"/>
    <n v="363"/>
    <n v="8.31"/>
    <n v="4.62"/>
    <n v="1848"/>
  </r>
  <r>
    <x v="4"/>
    <s v="R6"/>
    <n v="429"/>
    <n v="415"/>
    <n v="7.5"/>
    <n v="4.0999999999999996"/>
    <n v="1640"/>
  </r>
  <r>
    <x v="5"/>
    <s v="R6"/>
    <n v="455"/>
    <n v="450"/>
    <n v="6.4"/>
    <n v="3.6"/>
    <n v="1440"/>
  </r>
  <r>
    <x v="6"/>
    <s v="R6"/>
    <n v="437"/>
    <n v="435"/>
    <n v="7.29"/>
    <n v="4.04"/>
    <n v="1616"/>
  </r>
  <r>
    <x v="7"/>
    <s v="R6"/>
    <n v="400"/>
    <n v="362"/>
    <n v="8"/>
    <n v="4.33"/>
    <n v="1732"/>
  </r>
  <r>
    <x v="8"/>
    <s v="R6"/>
    <n v="417"/>
    <n v="411"/>
    <n v="7.5"/>
    <n v="3.71"/>
    <n v="1484"/>
  </r>
  <r>
    <x v="9"/>
    <s v="R6"/>
    <n v="375"/>
    <n v="374"/>
    <n v="6.24"/>
    <n v="3.4"/>
    <n v="1360"/>
  </r>
  <r>
    <x v="10"/>
    <s v="R6"/>
    <n v="310"/>
    <n v="301"/>
    <n v="7.5"/>
    <n v="4.25"/>
    <n v="1700"/>
  </r>
  <r>
    <x v="11"/>
    <s v="R6"/>
    <n v="427"/>
    <n v="400"/>
    <n v="10.11"/>
    <n v="5.9"/>
    <n v="2360"/>
  </r>
  <r>
    <x v="12"/>
    <s v="R6"/>
    <n v="467"/>
    <n v="393"/>
    <n v="8.24"/>
    <n v="4.4400000000000004"/>
    <n v="1776.0000000000002"/>
  </r>
  <r>
    <x v="13"/>
    <s v="R6"/>
    <n v="416"/>
    <n v="305"/>
    <n v="6.09"/>
    <n v="3.7"/>
    <n v="1480"/>
  </r>
  <r>
    <x v="14"/>
    <s v="R6"/>
    <n v="410"/>
    <n v="377"/>
    <n v="9.4"/>
    <n v="4.7699999999999996"/>
    <n v="1907.9999999999998"/>
  </r>
  <r>
    <x v="15"/>
    <s v="R6"/>
    <n v="367"/>
    <n v="360"/>
    <n v="7.4"/>
    <n v="3.56"/>
    <n v="1424"/>
  </r>
  <r>
    <x v="16"/>
    <s v="R6"/>
    <n v="371"/>
    <n v="288"/>
    <n v="5.88"/>
    <n v="3.84"/>
    <n v="1536"/>
  </r>
  <r>
    <x v="17"/>
    <s v="R6"/>
    <n v="389"/>
    <n v="283"/>
    <n v="4.75"/>
    <n v="2.13"/>
    <n v="8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970530-13EE-4E9E-9F4F-155C0AF365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E22" firstHeaderRow="0" firstDataRow="1" firstDataCol="1"/>
  <pivotFields count="7">
    <pivotField axis="axisRow" showAll="0">
      <items count="19">
        <item x="0"/>
        <item x="1"/>
        <item x="10"/>
        <item x="11"/>
        <item x="12"/>
        <item x="13"/>
        <item x="14"/>
        <item x="15"/>
        <item x="16"/>
        <item x="17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kg_ha" fld="6" subtotal="average" baseField="0" baseItem="0"/>
    <dataField name="StdDev of kg_ha" fld="6" subtotal="stdDev" baseField="0" baseItem="0"/>
  </dataFields>
  <formats count="7">
    <format dxfId="6">
      <pivotArea collapsedLevelsAreSubtotals="1" fieldPosition="0">
        <references count="1">
          <reference field="0" count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d_beans_data_2026B" displayName="red_beans_data_2026B" ref="A1:D109" headerRowDxfId="7">
  <tableColumns count="4">
    <tableColumn id="1" xr3:uid="{00000000-0010-0000-0000-000001000000}" name="TID"/>
    <tableColumn id="2" xr3:uid="{00000000-0010-0000-0000-000002000000}" name="rep"/>
    <tableColumn id="3" xr3:uid="{00000000-0010-0000-0000-000003000000}" name="germination rate"/>
    <tableColumn id="4" xr3:uid="{00000000-0010-0000-0000-000004000000}" name="harvested plants (numbers)"/>
  </tableColumns>
  <tableStyleInfo name="red_beans_yield_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B20" sqref="B20"/>
    </sheetView>
  </sheetViews>
  <sheetFormatPr defaultColWidth="14" defaultRowHeight="15" customHeight="1" x14ac:dyDescent="0.45"/>
  <cols>
    <col min="1" max="1" width="4.265625" customWidth="1"/>
    <col min="2" max="2" width="74.1328125" customWidth="1"/>
    <col min="4" max="4" width="5" customWidth="1"/>
    <col min="5" max="5" width="12.265625" customWidth="1"/>
    <col min="6" max="6" width="11.53125" customWidth="1"/>
    <col min="7" max="7" width="11.1328125" customWidth="1"/>
  </cols>
  <sheetData>
    <row r="1" spans="1:7" x14ac:dyDescent="0.45">
      <c r="A1" s="2" t="s">
        <v>69</v>
      </c>
      <c r="B1" s="2" t="s">
        <v>71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</row>
    <row r="2" spans="1:7" x14ac:dyDescent="0.45">
      <c r="A2" s="3" t="s">
        <v>5</v>
      </c>
      <c r="B2" s="1" t="s">
        <v>35</v>
      </c>
      <c r="C2" s="1" t="s">
        <v>36</v>
      </c>
      <c r="D2" s="4" t="s">
        <v>37</v>
      </c>
      <c r="E2" s="1" t="s">
        <v>37</v>
      </c>
      <c r="F2" s="1" t="s">
        <v>37</v>
      </c>
      <c r="G2" s="1" t="s">
        <v>37</v>
      </c>
    </row>
    <row r="3" spans="1:7" x14ac:dyDescent="0.45">
      <c r="A3" s="3" t="s">
        <v>7</v>
      </c>
      <c r="B3" s="1" t="s">
        <v>38</v>
      </c>
      <c r="C3" s="1" t="s">
        <v>39</v>
      </c>
      <c r="D3" s="4">
        <v>3</v>
      </c>
      <c r="E3" s="1" t="s">
        <v>32</v>
      </c>
      <c r="F3" s="1" t="s">
        <v>40</v>
      </c>
      <c r="G3" s="1" t="s">
        <v>41</v>
      </c>
    </row>
    <row r="4" spans="1:7" x14ac:dyDescent="0.45">
      <c r="A4" s="3" t="s">
        <v>8</v>
      </c>
      <c r="B4" s="1" t="s">
        <v>42</v>
      </c>
      <c r="C4" s="1" t="s">
        <v>39</v>
      </c>
      <c r="D4" s="4">
        <v>2</v>
      </c>
      <c r="E4" s="1" t="s">
        <v>32</v>
      </c>
      <c r="F4" s="1" t="s">
        <v>40</v>
      </c>
      <c r="G4" s="1" t="s">
        <v>37</v>
      </c>
    </row>
    <row r="5" spans="1:7" x14ac:dyDescent="0.45">
      <c r="A5" s="3" t="s">
        <v>9</v>
      </c>
      <c r="B5" s="1" t="s">
        <v>43</v>
      </c>
      <c r="C5" s="1" t="s">
        <v>39</v>
      </c>
      <c r="D5" s="4">
        <v>3</v>
      </c>
      <c r="E5" s="1" t="s">
        <v>32</v>
      </c>
      <c r="F5" s="1" t="s">
        <v>40</v>
      </c>
      <c r="G5" s="1" t="s">
        <v>41</v>
      </c>
    </row>
    <row r="6" spans="1:7" x14ac:dyDescent="0.45">
      <c r="A6" s="3" t="s">
        <v>10</v>
      </c>
      <c r="B6" s="1" t="s">
        <v>44</v>
      </c>
      <c r="C6" s="1" t="s">
        <v>39</v>
      </c>
      <c r="D6" s="4">
        <v>3</v>
      </c>
      <c r="E6" s="1" t="s">
        <v>32</v>
      </c>
      <c r="F6" s="1" t="s">
        <v>40</v>
      </c>
      <c r="G6" s="1" t="s">
        <v>41</v>
      </c>
    </row>
    <row r="7" spans="1:7" x14ac:dyDescent="0.45">
      <c r="A7" s="3" t="s">
        <v>11</v>
      </c>
      <c r="B7" s="1" t="s">
        <v>45</v>
      </c>
      <c r="C7" s="1" t="s">
        <v>46</v>
      </c>
      <c r="D7" s="4" t="s">
        <v>37</v>
      </c>
      <c r="E7" s="1" t="s">
        <v>37</v>
      </c>
      <c r="F7" s="1" t="s">
        <v>37</v>
      </c>
      <c r="G7" s="1" t="s">
        <v>37</v>
      </c>
    </row>
    <row r="8" spans="1:7" x14ac:dyDescent="0.45">
      <c r="A8" s="3" t="s">
        <v>12</v>
      </c>
      <c r="B8" s="1" t="s">
        <v>47</v>
      </c>
      <c r="C8" s="1" t="s">
        <v>46</v>
      </c>
      <c r="D8" s="4" t="s">
        <v>37</v>
      </c>
      <c r="E8" s="1" t="s">
        <v>37</v>
      </c>
      <c r="F8" s="1" t="s">
        <v>37</v>
      </c>
      <c r="G8" s="1" t="s">
        <v>37</v>
      </c>
    </row>
    <row r="9" spans="1:7" x14ac:dyDescent="0.45">
      <c r="A9" s="3" t="s">
        <v>13</v>
      </c>
      <c r="B9" s="1" t="s">
        <v>48</v>
      </c>
      <c r="C9" s="1" t="s">
        <v>39</v>
      </c>
      <c r="D9" s="4">
        <v>2</v>
      </c>
      <c r="E9" s="1" t="s">
        <v>32</v>
      </c>
      <c r="F9" s="1" t="s">
        <v>40</v>
      </c>
      <c r="G9" s="1" t="s">
        <v>37</v>
      </c>
    </row>
    <row r="10" spans="1:7" x14ac:dyDescent="0.45">
      <c r="A10" s="3" t="s">
        <v>14</v>
      </c>
      <c r="B10" s="1" t="s">
        <v>49</v>
      </c>
      <c r="C10" s="1" t="s">
        <v>39</v>
      </c>
      <c r="D10" s="4">
        <v>3</v>
      </c>
      <c r="E10" s="1" t="s">
        <v>32</v>
      </c>
      <c r="F10" s="1" t="s">
        <v>40</v>
      </c>
      <c r="G10" s="1" t="s">
        <v>41</v>
      </c>
    </row>
    <row r="11" spans="1:7" x14ac:dyDescent="0.45">
      <c r="A11" s="3" t="s">
        <v>15</v>
      </c>
      <c r="B11" s="1" t="s">
        <v>50</v>
      </c>
      <c r="C11" s="1" t="s">
        <v>39</v>
      </c>
      <c r="D11" s="4">
        <v>1</v>
      </c>
      <c r="E11" s="1" t="s">
        <v>32</v>
      </c>
      <c r="F11" s="1" t="s">
        <v>37</v>
      </c>
      <c r="G11" s="1" t="s">
        <v>37</v>
      </c>
    </row>
    <row r="12" spans="1:7" x14ac:dyDescent="0.45">
      <c r="A12" s="3" t="s">
        <v>16</v>
      </c>
      <c r="B12" s="1" t="s">
        <v>51</v>
      </c>
      <c r="C12" s="1" t="s">
        <v>39</v>
      </c>
      <c r="D12" s="4">
        <v>1</v>
      </c>
      <c r="E12" s="1" t="s">
        <v>32</v>
      </c>
      <c r="F12" s="1" t="s">
        <v>37</v>
      </c>
      <c r="G12" s="1" t="s">
        <v>37</v>
      </c>
    </row>
    <row r="13" spans="1:7" x14ac:dyDescent="0.45">
      <c r="A13" s="3" t="s">
        <v>17</v>
      </c>
      <c r="B13" s="1" t="s">
        <v>52</v>
      </c>
      <c r="C13" s="1" t="s">
        <v>39</v>
      </c>
      <c r="D13" s="4">
        <v>1</v>
      </c>
      <c r="E13" s="1" t="s">
        <v>32</v>
      </c>
      <c r="F13" s="1" t="s">
        <v>37</v>
      </c>
      <c r="G13" s="1" t="s">
        <v>37</v>
      </c>
    </row>
    <row r="14" spans="1:7" x14ac:dyDescent="0.45">
      <c r="A14" s="3" t="s">
        <v>18</v>
      </c>
      <c r="B14" s="1" t="s">
        <v>53</v>
      </c>
      <c r="C14" s="1" t="s">
        <v>39</v>
      </c>
      <c r="D14" s="4">
        <v>2</v>
      </c>
      <c r="E14" s="1" t="s">
        <v>32</v>
      </c>
      <c r="F14" s="1" t="s">
        <v>40</v>
      </c>
      <c r="G14" s="1" t="s">
        <v>37</v>
      </c>
    </row>
    <row r="15" spans="1:7" x14ac:dyDescent="0.45">
      <c r="A15" s="3" t="s">
        <v>19</v>
      </c>
      <c r="B15" s="1" t="s">
        <v>54</v>
      </c>
      <c r="C15" s="1" t="s">
        <v>39</v>
      </c>
      <c r="D15" s="4">
        <v>1</v>
      </c>
      <c r="E15" s="1" t="s">
        <v>32</v>
      </c>
      <c r="F15" s="1" t="s">
        <v>37</v>
      </c>
      <c r="G15" s="1" t="s">
        <v>37</v>
      </c>
    </row>
    <row r="16" spans="1:7" x14ac:dyDescent="0.45">
      <c r="A16" s="3" t="s">
        <v>20</v>
      </c>
      <c r="B16" s="1" t="s">
        <v>55</v>
      </c>
      <c r="C16" s="1" t="s">
        <v>39</v>
      </c>
      <c r="D16" s="4">
        <v>3</v>
      </c>
      <c r="E16" s="1" t="s">
        <v>32</v>
      </c>
      <c r="F16" s="1" t="s">
        <v>40</v>
      </c>
      <c r="G16" s="1" t="s">
        <v>41</v>
      </c>
    </row>
    <row r="17" spans="1:7" x14ac:dyDescent="0.45">
      <c r="A17" s="3" t="s">
        <v>21</v>
      </c>
      <c r="B17" s="1" t="s">
        <v>56</v>
      </c>
      <c r="C17" s="1" t="s">
        <v>39</v>
      </c>
      <c r="D17" s="4">
        <v>1</v>
      </c>
      <c r="E17" s="1" t="s">
        <v>32</v>
      </c>
      <c r="F17" s="1" t="s">
        <v>37</v>
      </c>
      <c r="G17" s="1" t="s">
        <v>37</v>
      </c>
    </row>
    <row r="18" spans="1:7" x14ac:dyDescent="0.45">
      <c r="A18" s="3" t="s">
        <v>22</v>
      </c>
      <c r="B18" s="1" t="s">
        <v>57</v>
      </c>
      <c r="C18" s="1" t="s">
        <v>39</v>
      </c>
      <c r="D18" s="4">
        <v>2</v>
      </c>
      <c r="E18" s="1" t="s">
        <v>32</v>
      </c>
      <c r="F18" s="1" t="s">
        <v>40</v>
      </c>
      <c r="G18" s="1" t="s">
        <v>37</v>
      </c>
    </row>
    <row r="19" spans="1:7" x14ac:dyDescent="0.45">
      <c r="A19" s="3" t="s">
        <v>23</v>
      </c>
      <c r="B19" s="1" t="s">
        <v>58</v>
      </c>
      <c r="C19" s="1" t="s">
        <v>39</v>
      </c>
      <c r="D19" s="1">
        <v>2</v>
      </c>
      <c r="E19" s="1" t="s">
        <v>32</v>
      </c>
      <c r="F19" s="1" t="s">
        <v>40</v>
      </c>
      <c r="G19" s="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3B74-781F-48BD-BD90-C48494CC13ED}">
  <dimension ref="A1:I109"/>
  <sheetViews>
    <sheetView topLeftCell="A4" workbookViewId="0">
      <selection activeCell="H2" sqref="H2:H109"/>
    </sheetView>
  </sheetViews>
  <sheetFormatPr defaultRowHeight="14.25" x14ac:dyDescent="0.45"/>
  <cols>
    <col min="1" max="6" width="9.06640625" style="5"/>
    <col min="7" max="8" width="12.06640625" style="5" customWidth="1"/>
    <col min="9" max="9" width="17.73046875" style="5" customWidth="1"/>
    <col min="10" max="16384" width="9.06640625" style="5"/>
  </cols>
  <sheetData>
    <row r="1" spans="1:9" x14ac:dyDescent="0.45">
      <c r="A1" s="22" t="s">
        <v>69</v>
      </c>
      <c r="B1" s="22" t="s">
        <v>72</v>
      </c>
      <c r="C1" s="5" t="s">
        <v>76</v>
      </c>
      <c r="D1" s="22" t="s">
        <v>73</v>
      </c>
      <c r="E1" s="21" t="s">
        <v>74</v>
      </c>
      <c r="F1" s="21" t="s">
        <v>75</v>
      </c>
      <c r="G1" s="21" t="s">
        <v>70</v>
      </c>
      <c r="H1" s="24" t="s">
        <v>79</v>
      </c>
      <c r="I1" s="21" t="s">
        <v>78</v>
      </c>
    </row>
    <row r="2" spans="1:9" x14ac:dyDescent="0.45">
      <c r="A2" s="21" t="s">
        <v>5</v>
      </c>
      <c r="B2" s="21" t="s">
        <v>6</v>
      </c>
      <c r="C2" s="21">
        <v>437</v>
      </c>
      <c r="D2" s="21">
        <v>426</v>
      </c>
      <c r="E2" s="7">
        <v>5.84</v>
      </c>
      <c r="F2" s="7">
        <v>2.57</v>
      </c>
      <c r="G2" s="5">
        <f>F2*10000/25</f>
        <v>1028</v>
      </c>
      <c r="H2" s="5">
        <f>G2/1000</f>
        <v>1.028</v>
      </c>
      <c r="I2" s="5">
        <f>E2*10/25</f>
        <v>2.3359999999999999</v>
      </c>
    </row>
    <row r="3" spans="1:9" x14ac:dyDescent="0.45">
      <c r="A3" s="21" t="s">
        <v>7</v>
      </c>
      <c r="B3" s="21" t="s">
        <v>6</v>
      </c>
      <c r="C3" s="21">
        <v>449</v>
      </c>
      <c r="D3" s="21">
        <v>436</v>
      </c>
      <c r="E3" s="7">
        <v>7.52</v>
      </c>
      <c r="F3" s="7">
        <v>3.9</v>
      </c>
      <c r="G3" s="5">
        <f t="shared" ref="G3:G66" si="0">F3*10000/25</f>
        <v>1560</v>
      </c>
      <c r="H3" s="5">
        <f t="shared" ref="H3:H66" si="1">G3/1000</f>
        <v>1.56</v>
      </c>
      <c r="I3" s="5">
        <f t="shared" ref="I3:I66" si="2">E3*10/25</f>
        <v>3.0079999999999996</v>
      </c>
    </row>
    <row r="4" spans="1:9" x14ac:dyDescent="0.45">
      <c r="A4" s="21" t="s">
        <v>8</v>
      </c>
      <c r="B4" s="21" t="s">
        <v>6</v>
      </c>
      <c r="C4" s="21">
        <v>450</v>
      </c>
      <c r="D4" s="21">
        <v>413</v>
      </c>
      <c r="E4" s="7">
        <v>5.22</v>
      </c>
      <c r="F4" s="7">
        <v>2.4</v>
      </c>
      <c r="G4" s="5">
        <f t="shared" si="0"/>
        <v>960</v>
      </c>
      <c r="H4" s="5">
        <f t="shared" si="1"/>
        <v>0.96</v>
      </c>
      <c r="I4" s="5">
        <f t="shared" si="2"/>
        <v>2.0879999999999996</v>
      </c>
    </row>
    <row r="5" spans="1:9" x14ac:dyDescent="0.45">
      <c r="A5" s="21" t="s">
        <v>9</v>
      </c>
      <c r="B5" s="21" t="s">
        <v>6</v>
      </c>
      <c r="C5" s="21">
        <v>334</v>
      </c>
      <c r="D5" s="21">
        <v>473</v>
      </c>
      <c r="E5" s="7">
        <v>8</v>
      </c>
      <c r="F5" s="7">
        <v>4.3</v>
      </c>
      <c r="G5" s="5">
        <f t="shared" si="0"/>
        <v>1720</v>
      </c>
      <c r="H5" s="5">
        <f t="shared" si="1"/>
        <v>1.72</v>
      </c>
      <c r="I5" s="5">
        <f t="shared" si="2"/>
        <v>3.2</v>
      </c>
    </row>
    <row r="6" spans="1:9" x14ac:dyDescent="0.45">
      <c r="A6" s="21" t="s">
        <v>10</v>
      </c>
      <c r="B6" s="21" t="s">
        <v>6</v>
      </c>
      <c r="C6" s="21">
        <v>439</v>
      </c>
      <c r="D6" s="21">
        <v>424</v>
      </c>
      <c r="E6" s="7">
        <v>6.96</v>
      </c>
      <c r="F6" s="7">
        <v>3.52</v>
      </c>
      <c r="G6" s="5">
        <f t="shared" si="0"/>
        <v>1408</v>
      </c>
      <c r="H6" s="5">
        <f t="shared" si="1"/>
        <v>1.4079999999999999</v>
      </c>
      <c r="I6" s="5">
        <f t="shared" si="2"/>
        <v>2.7839999999999998</v>
      </c>
    </row>
    <row r="7" spans="1:9" x14ac:dyDescent="0.45">
      <c r="A7" s="21" t="s">
        <v>11</v>
      </c>
      <c r="B7" s="21" t="s">
        <v>6</v>
      </c>
      <c r="C7" s="21">
        <v>391</v>
      </c>
      <c r="D7" s="21">
        <v>417</v>
      </c>
      <c r="E7" s="7">
        <v>9.06</v>
      </c>
      <c r="F7" s="7">
        <v>3.84</v>
      </c>
      <c r="G7" s="5">
        <f t="shared" si="0"/>
        <v>1536</v>
      </c>
      <c r="H7" s="5">
        <f t="shared" si="1"/>
        <v>1.536</v>
      </c>
      <c r="I7" s="5">
        <f t="shared" si="2"/>
        <v>3.6240000000000006</v>
      </c>
    </row>
    <row r="8" spans="1:9" x14ac:dyDescent="0.45">
      <c r="A8" s="21" t="s">
        <v>12</v>
      </c>
      <c r="B8" s="21" t="s">
        <v>6</v>
      </c>
      <c r="C8" s="21">
        <v>375</v>
      </c>
      <c r="D8" s="21">
        <v>433</v>
      </c>
      <c r="E8" s="7">
        <v>7.55</v>
      </c>
      <c r="F8" s="7">
        <v>3.73</v>
      </c>
      <c r="G8" s="5">
        <f t="shared" si="0"/>
        <v>1492</v>
      </c>
      <c r="H8" s="5">
        <f t="shared" si="1"/>
        <v>1.492</v>
      </c>
      <c r="I8" s="5">
        <f t="shared" si="2"/>
        <v>3.02</v>
      </c>
    </row>
    <row r="9" spans="1:9" x14ac:dyDescent="0.45">
      <c r="A9" s="21" t="s">
        <v>13</v>
      </c>
      <c r="B9" s="21" t="s">
        <v>6</v>
      </c>
      <c r="C9" s="21">
        <v>435</v>
      </c>
      <c r="D9" s="21">
        <v>428</v>
      </c>
      <c r="E9" s="7">
        <v>7.79</v>
      </c>
      <c r="F9" s="7">
        <v>3.79</v>
      </c>
      <c r="G9" s="5">
        <f>F9*10000/25</f>
        <v>1516</v>
      </c>
      <c r="H9" s="5">
        <f t="shared" si="1"/>
        <v>1.516</v>
      </c>
      <c r="I9" s="5">
        <f t="shared" si="2"/>
        <v>3.1160000000000001</v>
      </c>
    </row>
    <row r="10" spans="1:9" x14ac:dyDescent="0.45">
      <c r="A10" s="21" t="s">
        <v>14</v>
      </c>
      <c r="B10" s="21" t="s">
        <v>6</v>
      </c>
      <c r="C10" s="21">
        <v>456</v>
      </c>
      <c r="D10" s="21">
        <v>430</v>
      </c>
      <c r="E10" s="7">
        <v>8.77</v>
      </c>
      <c r="F10" s="7">
        <v>4.1100000000000003</v>
      </c>
      <c r="G10" s="5">
        <f t="shared" si="0"/>
        <v>1644</v>
      </c>
      <c r="H10" s="5">
        <f t="shared" si="1"/>
        <v>1.6439999999999999</v>
      </c>
      <c r="I10" s="5">
        <f t="shared" si="2"/>
        <v>3.5079999999999996</v>
      </c>
    </row>
    <row r="11" spans="1:9" x14ac:dyDescent="0.45">
      <c r="A11" s="21" t="s">
        <v>15</v>
      </c>
      <c r="B11" s="21" t="s">
        <v>6</v>
      </c>
      <c r="C11" s="21">
        <v>442</v>
      </c>
      <c r="D11" s="21">
        <v>440</v>
      </c>
      <c r="E11" s="7">
        <v>4.21</v>
      </c>
      <c r="F11" s="7">
        <v>2.17</v>
      </c>
      <c r="G11" s="5">
        <f t="shared" si="0"/>
        <v>868</v>
      </c>
      <c r="H11" s="5">
        <f t="shared" si="1"/>
        <v>0.86799999999999999</v>
      </c>
      <c r="I11" s="5">
        <f t="shared" si="2"/>
        <v>1.6840000000000002</v>
      </c>
    </row>
    <row r="12" spans="1:9" x14ac:dyDescent="0.45">
      <c r="A12" s="21" t="s">
        <v>16</v>
      </c>
      <c r="B12" s="21" t="s">
        <v>6</v>
      </c>
      <c r="C12" s="21">
        <v>435</v>
      </c>
      <c r="D12" s="21">
        <v>424</v>
      </c>
      <c r="E12" s="7">
        <v>6.79</v>
      </c>
      <c r="F12" s="7">
        <v>3.74</v>
      </c>
      <c r="G12" s="5">
        <f t="shared" si="0"/>
        <v>1496</v>
      </c>
      <c r="H12" s="5">
        <f t="shared" si="1"/>
        <v>1.496</v>
      </c>
      <c r="I12" s="5">
        <f t="shared" si="2"/>
        <v>2.7160000000000002</v>
      </c>
    </row>
    <row r="13" spans="1:9" x14ac:dyDescent="0.45">
      <c r="A13" s="21" t="s">
        <v>17</v>
      </c>
      <c r="B13" s="21" t="s">
        <v>6</v>
      </c>
      <c r="C13" s="21">
        <v>337</v>
      </c>
      <c r="D13" s="21">
        <v>334</v>
      </c>
      <c r="E13" s="7">
        <v>8.9499999999999993</v>
      </c>
      <c r="F13" s="7">
        <v>4.71</v>
      </c>
      <c r="G13" s="5">
        <f t="shared" si="0"/>
        <v>1884</v>
      </c>
      <c r="H13" s="5">
        <f t="shared" si="1"/>
        <v>1.8839999999999999</v>
      </c>
      <c r="I13" s="5">
        <f t="shared" si="2"/>
        <v>3.58</v>
      </c>
    </row>
    <row r="14" spans="1:9" x14ac:dyDescent="0.45">
      <c r="A14" s="21" t="s">
        <v>18</v>
      </c>
      <c r="B14" s="21" t="s">
        <v>6</v>
      </c>
      <c r="C14" s="21">
        <v>427</v>
      </c>
      <c r="D14" s="21">
        <v>365</v>
      </c>
      <c r="E14" s="7">
        <v>8.91</v>
      </c>
      <c r="F14" s="7">
        <v>4.57</v>
      </c>
      <c r="G14" s="5">
        <f t="shared" si="0"/>
        <v>1828</v>
      </c>
      <c r="H14" s="5">
        <f t="shared" si="1"/>
        <v>1.8280000000000001</v>
      </c>
      <c r="I14" s="5">
        <f t="shared" si="2"/>
        <v>3.5639999999999996</v>
      </c>
    </row>
    <row r="15" spans="1:9" x14ac:dyDescent="0.45">
      <c r="A15" s="21" t="s">
        <v>19</v>
      </c>
      <c r="B15" s="21" t="s">
        <v>6</v>
      </c>
      <c r="C15" s="21">
        <v>428</v>
      </c>
      <c r="D15" s="21">
        <v>410</v>
      </c>
      <c r="E15" s="7">
        <v>7.19</v>
      </c>
      <c r="F15" s="7">
        <v>3.79</v>
      </c>
      <c r="G15" s="5">
        <f t="shared" si="0"/>
        <v>1516</v>
      </c>
      <c r="H15" s="5">
        <f t="shared" si="1"/>
        <v>1.516</v>
      </c>
      <c r="I15" s="5">
        <f t="shared" si="2"/>
        <v>2.8760000000000003</v>
      </c>
    </row>
    <row r="16" spans="1:9" x14ac:dyDescent="0.45">
      <c r="A16" s="21" t="s">
        <v>20</v>
      </c>
      <c r="B16" s="21" t="s">
        <v>6</v>
      </c>
      <c r="C16" s="21">
        <v>463</v>
      </c>
      <c r="D16" s="21">
        <v>407</v>
      </c>
      <c r="E16" s="7">
        <v>8.7200000000000006</v>
      </c>
      <c r="F16" s="7">
        <v>4.84</v>
      </c>
      <c r="G16" s="5">
        <f t="shared" si="0"/>
        <v>1936</v>
      </c>
      <c r="H16" s="5">
        <f t="shared" si="1"/>
        <v>1.9359999999999999</v>
      </c>
      <c r="I16" s="5">
        <f t="shared" si="2"/>
        <v>3.488</v>
      </c>
    </row>
    <row r="17" spans="1:9" x14ac:dyDescent="0.45">
      <c r="A17" s="21" t="s">
        <v>21</v>
      </c>
      <c r="B17" s="21" t="s">
        <v>6</v>
      </c>
      <c r="C17" s="21">
        <v>425</v>
      </c>
      <c r="D17" s="21">
        <v>399</v>
      </c>
      <c r="E17" s="7">
        <v>4.75</v>
      </c>
      <c r="F17" s="7">
        <v>2.52</v>
      </c>
      <c r="G17" s="5">
        <f t="shared" si="0"/>
        <v>1008</v>
      </c>
      <c r="H17" s="5">
        <f t="shared" si="1"/>
        <v>1.008</v>
      </c>
      <c r="I17" s="5">
        <f t="shared" si="2"/>
        <v>1.9</v>
      </c>
    </row>
    <row r="18" spans="1:9" x14ac:dyDescent="0.45">
      <c r="A18" s="21" t="s">
        <v>22</v>
      </c>
      <c r="B18" s="21" t="s">
        <v>6</v>
      </c>
      <c r="C18" s="21">
        <v>362</v>
      </c>
      <c r="D18" s="21">
        <v>360</v>
      </c>
      <c r="E18" s="7">
        <v>5.8</v>
      </c>
      <c r="F18" s="7">
        <v>2.58</v>
      </c>
      <c r="G18" s="5">
        <f t="shared" si="0"/>
        <v>1032</v>
      </c>
      <c r="H18" s="5">
        <f t="shared" si="1"/>
        <v>1.032</v>
      </c>
      <c r="I18" s="5">
        <f t="shared" si="2"/>
        <v>2.3199999999999998</v>
      </c>
    </row>
    <row r="19" spans="1:9" x14ac:dyDescent="0.45">
      <c r="A19" s="21" t="s">
        <v>23</v>
      </c>
      <c r="B19" s="21" t="s">
        <v>6</v>
      </c>
      <c r="C19" s="21">
        <v>335</v>
      </c>
      <c r="D19" s="21">
        <v>336</v>
      </c>
      <c r="E19" s="7">
        <v>6.52</v>
      </c>
      <c r="F19" s="7">
        <v>3.75</v>
      </c>
      <c r="G19" s="5">
        <f t="shared" si="0"/>
        <v>1500</v>
      </c>
      <c r="H19" s="5">
        <f t="shared" si="1"/>
        <v>1.5</v>
      </c>
      <c r="I19" s="5">
        <f t="shared" si="2"/>
        <v>2.6079999999999997</v>
      </c>
    </row>
    <row r="20" spans="1:9" x14ac:dyDescent="0.45">
      <c r="A20" s="21" t="s">
        <v>5</v>
      </c>
      <c r="B20" s="21" t="s">
        <v>24</v>
      </c>
      <c r="C20" s="21">
        <v>399</v>
      </c>
      <c r="D20" s="21">
        <v>390</v>
      </c>
      <c r="E20" s="7">
        <v>3.91</v>
      </c>
      <c r="F20" s="7">
        <v>1.65</v>
      </c>
      <c r="G20" s="5">
        <f t="shared" si="0"/>
        <v>660</v>
      </c>
      <c r="H20" s="5">
        <f t="shared" si="1"/>
        <v>0.66</v>
      </c>
      <c r="I20" s="5">
        <f t="shared" si="2"/>
        <v>1.5640000000000001</v>
      </c>
    </row>
    <row r="21" spans="1:9" x14ac:dyDescent="0.45">
      <c r="A21" s="21" t="s">
        <v>7</v>
      </c>
      <c r="B21" s="21" t="s">
        <v>24</v>
      </c>
      <c r="C21" s="21">
        <v>438</v>
      </c>
      <c r="D21" s="21">
        <v>413</v>
      </c>
      <c r="E21" s="7">
        <v>4.3899999999999997</v>
      </c>
      <c r="F21" s="7">
        <v>2.2999999999999998</v>
      </c>
      <c r="G21" s="5">
        <f t="shared" si="0"/>
        <v>920</v>
      </c>
      <c r="H21" s="5">
        <f t="shared" si="1"/>
        <v>0.92</v>
      </c>
      <c r="I21" s="5">
        <f t="shared" si="2"/>
        <v>1.756</v>
      </c>
    </row>
    <row r="22" spans="1:9" x14ac:dyDescent="0.45">
      <c r="A22" s="21" t="s">
        <v>8</v>
      </c>
      <c r="B22" s="21" t="s">
        <v>24</v>
      </c>
      <c r="C22" s="21">
        <v>403</v>
      </c>
      <c r="D22" s="21">
        <v>402</v>
      </c>
      <c r="E22" s="7">
        <v>7</v>
      </c>
      <c r="F22" s="7">
        <v>3.46</v>
      </c>
      <c r="G22" s="5">
        <f t="shared" si="0"/>
        <v>1384</v>
      </c>
      <c r="H22" s="5">
        <f t="shared" si="1"/>
        <v>1.3839999999999999</v>
      </c>
      <c r="I22" s="5">
        <f t="shared" si="2"/>
        <v>2.8</v>
      </c>
    </row>
    <row r="23" spans="1:9" x14ac:dyDescent="0.45">
      <c r="A23" s="21" t="s">
        <v>9</v>
      </c>
      <c r="B23" s="21" t="s">
        <v>24</v>
      </c>
      <c r="C23" s="21">
        <v>429</v>
      </c>
      <c r="D23" s="21">
        <v>420</v>
      </c>
      <c r="E23" s="7">
        <v>7.93</v>
      </c>
      <c r="F23" s="7">
        <v>3.88</v>
      </c>
      <c r="G23" s="5">
        <f t="shared" si="0"/>
        <v>1552</v>
      </c>
      <c r="H23" s="5">
        <f t="shared" si="1"/>
        <v>1.552</v>
      </c>
      <c r="I23" s="5">
        <f t="shared" si="2"/>
        <v>3.1719999999999997</v>
      </c>
    </row>
    <row r="24" spans="1:9" x14ac:dyDescent="0.45">
      <c r="A24" s="21" t="s">
        <v>10</v>
      </c>
      <c r="B24" s="21" t="s">
        <v>24</v>
      </c>
      <c r="C24" s="21">
        <v>455</v>
      </c>
      <c r="D24" s="21">
        <v>425</v>
      </c>
      <c r="E24" s="7">
        <v>9.41</v>
      </c>
      <c r="F24" s="7">
        <v>4.88</v>
      </c>
      <c r="G24" s="5">
        <f t="shared" si="0"/>
        <v>1952</v>
      </c>
      <c r="H24" s="5">
        <f t="shared" si="1"/>
        <v>1.952</v>
      </c>
      <c r="I24" s="5">
        <f t="shared" si="2"/>
        <v>3.7639999999999998</v>
      </c>
    </row>
    <row r="25" spans="1:9" x14ac:dyDescent="0.45">
      <c r="A25" s="21" t="s">
        <v>11</v>
      </c>
      <c r="B25" s="21" t="s">
        <v>24</v>
      </c>
      <c r="C25" s="21">
        <v>450</v>
      </c>
      <c r="D25" s="21">
        <v>412</v>
      </c>
      <c r="E25" s="7">
        <v>10.11</v>
      </c>
      <c r="F25" s="7">
        <v>4.0999999999999996</v>
      </c>
      <c r="G25" s="5">
        <f t="shared" si="0"/>
        <v>1640</v>
      </c>
      <c r="H25" s="5">
        <f t="shared" si="1"/>
        <v>1.64</v>
      </c>
      <c r="I25" s="5">
        <f t="shared" si="2"/>
        <v>4.0439999999999996</v>
      </c>
    </row>
    <row r="26" spans="1:9" x14ac:dyDescent="0.45">
      <c r="A26" s="21" t="s">
        <v>12</v>
      </c>
      <c r="B26" s="21" t="s">
        <v>24</v>
      </c>
      <c r="C26" s="21">
        <v>459</v>
      </c>
      <c r="D26" s="21">
        <v>427</v>
      </c>
      <c r="E26" s="7">
        <v>6.68</v>
      </c>
      <c r="F26" s="7">
        <v>3.4</v>
      </c>
      <c r="G26" s="5">
        <f t="shared" si="0"/>
        <v>1360</v>
      </c>
      <c r="H26" s="5">
        <f t="shared" si="1"/>
        <v>1.36</v>
      </c>
      <c r="I26" s="5">
        <f t="shared" si="2"/>
        <v>2.6719999999999997</v>
      </c>
    </row>
    <row r="27" spans="1:9" x14ac:dyDescent="0.45">
      <c r="A27" s="21" t="s">
        <v>13</v>
      </c>
      <c r="B27" s="21" t="s">
        <v>24</v>
      </c>
      <c r="C27" s="21">
        <v>452</v>
      </c>
      <c r="D27" s="21">
        <v>440</v>
      </c>
      <c r="E27" s="7">
        <v>7.12</v>
      </c>
      <c r="F27" s="7">
        <v>3.5</v>
      </c>
      <c r="G27" s="5">
        <f t="shared" si="0"/>
        <v>1400</v>
      </c>
      <c r="H27" s="5">
        <f t="shared" si="1"/>
        <v>1.4</v>
      </c>
      <c r="I27" s="5">
        <f t="shared" si="2"/>
        <v>2.8480000000000003</v>
      </c>
    </row>
    <row r="28" spans="1:9" x14ac:dyDescent="0.45">
      <c r="A28" s="21" t="s">
        <v>14</v>
      </c>
      <c r="B28" s="21" t="s">
        <v>24</v>
      </c>
      <c r="C28" s="21">
        <v>427</v>
      </c>
      <c r="D28" s="21">
        <v>403</v>
      </c>
      <c r="E28" s="7">
        <v>7.68</v>
      </c>
      <c r="F28" s="7">
        <v>3.9</v>
      </c>
      <c r="G28" s="5">
        <f t="shared" si="0"/>
        <v>1560</v>
      </c>
      <c r="H28" s="5">
        <f t="shared" si="1"/>
        <v>1.56</v>
      </c>
      <c r="I28" s="5">
        <f t="shared" si="2"/>
        <v>3.0720000000000001</v>
      </c>
    </row>
    <row r="29" spans="1:9" x14ac:dyDescent="0.45">
      <c r="A29" s="21" t="s">
        <v>15</v>
      </c>
      <c r="B29" s="21" t="s">
        <v>24</v>
      </c>
      <c r="C29" s="21">
        <v>410</v>
      </c>
      <c r="D29" s="21">
        <v>405</v>
      </c>
      <c r="E29" s="7">
        <v>5.22</v>
      </c>
      <c r="F29" s="7">
        <v>2.7</v>
      </c>
      <c r="G29" s="5">
        <f t="shared" si="0"/>
        <v>1080</v>
      </c>
      <c r="H29" s="5">
        <f t="shared" si="1"/>
        <v>1.08</v>
      </c>
      <c r="I29" s="5">
        <f t="shared" si="2"/>
        <v>2.0879999999999996</v>
      </c>
    </row>
    <row r="30" spans="1:9" x14ac:dyDescent="0.45">
      <c r="A30" s="21" t="s">
        <v>16</v>
      </c>
      <c r="B30" s="21" t="s">
        <v>24</v>
      </c>
      <c r="C30" s="21">
        <v>443</v>
      </c>
      <c r="D30" s="21">
        <v>440</v>
      </c>
      <c r="E30" s="7">
        <v>8.14</v>
      </c>
      <c r="F30" s="7">
        <v>4.62</v>
      </c>
      <c r="G30" s="5">
        <f t="shared" si="0"/>
        <v>1848</v>
      </c>
      <c r="H30" s="5">
        <f t="shared" si="1"/>
        <v>1.8480000000000001</v>
      </c>
      <c r="I30" s="5">
        <f t="shared" si="2"/>
        <v>3.2560000000000002</v>
      </c>
    </row>
    <row r="31" spans="1:9" x14ac:dyDescent="0.45">
      <c r="A31" s="21" t="s">
        <v>17</v>
      </c>
      <c r="B31" s="21" t="s">
        <v>24</v>
      </c>
      <c r="C31" s="21">
        <v>436</v>
      </c>
      <c r="D31" s="21">
        <v>436</v>
      </c>
      <c r="E31" s="7">
        <v>8.44</v>
      </c>
      <c r="F31" s="7">
        <v>4.96</v>
      </c>
      <c r="G31" s="5">
        <f t="shared" si="0"/>
        <v>1984</v>
      </c>
      <c r="H31" s="5">
        <f t="shared" si="1"/>
        <v>1.984</v>
      </c>
      <c r="I31" s="5">
        <f t="shared" si="2"/>
        <v>3.3759999999999994</v>
      </c>
    </row>
    <row r="32" spans="1:9" x14ac:dyDescent="0.45">
      <c r="A32" s="21" t="s">
        <v>18</v>
      </c>
      <c r="B32" s="21" t="s">
        <v>24</v>
      </c>
      <c r="C32" s="21">
        <v>446</v>
      </c>
      <c r="D32" s="21">
        <v>444</v>
      </c>
      <c r="E32" s="7">
        <v>10.84</v>
      </c>
      <c r="F32" s="7">
        <v>5.18</v>
      </c>
      <c r="G32" s="5">
        <f t="shared" si="0"/>
        <v>2072</v>
      </c>
      <c r="H32" s="5">
        <f t="shared" si="1"/>
        <v>2.0720000000000001</v>
      </c>
      <c r="I32" s="5">
        <f t="shared" si="2"/>
        <v>4.3360000000000003</v>
      </c>
    </row>
    <row r="33" spans="1:9" x14ac:dyDescent="0.45">
      <c r="A33" s="21" t="s">
        <v>19</v>
      </c>
      <c r="B33" s="21" t="s">
        <v>24</v>
      </c>
      <c r="C33" s="21">
        <v>398</v>
      </c>
      <c r="D33" s="21">
        <v>345</v>
      </c>
      <c r="E33" s="7">
        <v>7.91</v>
      </c>
      <c r="F33" s="7">
        <v>4.2</v>
      </c>
      <c r="G33" s="5">
        <f t="shared" si="0"/>
        <v>1680</v>
      </c>
      <c r="H33" s="5">
        <f t="shared" si="1"/>
        <v>1.68</v>
      </c>
      <c r="I33" s="5">
        <f t="shared" si="2"/>
        <v>3.1639999999999997</v>
      </c>
    </row>
    <row r="34" spans="1:9" x14ac:dyDescent="0.45">
      <c r="A34" s="21" t="s">
        <v>20</v>
      </c>
      <c r="B34" s="21" t="s">
        <v>24</v>
      </c>
      <c r="C34" s="21">
        <v>430</v>
      </c>
      <c r="D34" s="21">
        <v>425</v>
      </c>
      <c r="E34" s="7">
        <v>10.64</v>
      </c>
      <c r="F34" s="7">
        <v>5.5</v>
      </c>
      <c r="G34" s="5">
        <f t="shared" si="0"/>
        <v>2200</v>
      </c>
      <c r="H34" s="5">
        <f t="shared" si="1"/>
        <v>2.2000000000000002</v>
      </c>
      <c r="I34" s="5">
        <f t="shared" si="2"/>
        <v>4.2560000000000002</v>
      </c>
    </row>
    <row r="35" spans="1:9" x14ac:dyDescent="0.45">
      <c r="A35" s="21" t="s">
        <v>21</v>
      </c>
      <c r="B35" s="21" t="s">
        <v>24</v>
      </c>
      <c r="C35" s="21">
        <v>400</v>
      </c>
      <c r="D35" s="21">
        <v>361</v>
      </c>
      <c r="E35" s="7">
        <v>4.55</v>
      </c>
      <c r="F35" s="7">
        <v>2.88</v>
      </c>
      <c r="G35" s="5">
        <f t="shared" si="0"/>
        <v>1152</v>
      </c>
      <c r="H35" s="5">
        <f t="shared" si="1"/>
        <v>1.1519999999999999</v>
      </c>
      <c r="I35" s="5">
        <f t="shared" si="2"/>
        <v>1.82</v>
      </c>
    </row>
    <row r="36" spans="1:9" x14ac:dyDescent="0.45">
      <c r="A36" s="21" t="s">
        <v>22</v>
      </c>
      <c r="B36" s="21" t="s">
        <v>24</v>
      </c>
      <c r="C36" s="21">
        <v>395</v>
      </c>
      <c r="D36" s="21">
        <v>354</v>
      </c>
      <c r="E36" s="7">
        <v>5.05</v>
      </c>
      <c r="F36" s="7">
        <v>2.82</v>
      </c>
      <c r="G36" s="5">
        <f t="shared" si="0"/>
        <v>1128</v>
      </c>
      <c r="H36" s="5">
        <f t="shared" si="1"/>
        <v>1.1279999999999999</v>
      </c>
      <c r="I36" s="5">
        <f t="shared" si="2"/>
        <v>2.02</v>
      </c>
    </row>
    <row r="37" spans="1:9" x14ac:dyDescent="0.45">
      <c r="A37" s="21" t="s">
        <v>23</v>
      </c>
      <c r="B37" s="21" t="s">
        <v>24</v>
      </c>
      <c r="C37" s="21">
        <v>467</v>
      </c>
      <c r="D37" s="21">
        <v>418</v>
      </c>
      <c r="E37" s="7">
        <v>6.45</v>
      </c>
      <c r="F37" s="7">
        <v>3.32</v>
      </c>
      <c r="G37" s="5">
        <f t="shared" si="0"/>
        <v>1328</v>
      </c>
      <c r="H37" s="5">
        <f t="shared" si="1"/>
        <v>1.3280000000000001</v>
      </c>
      <c r="I37" s="5">
        <f t="shared" si="2"/>
        <v>2.58</v>
      </c>
    </row>
    <row r="38" spans="1:9" x14ac:dyDescent="0.45">
      <c r="A38" s="21" t="s">
        <v>5</v>
      </c>
      <c r="B38" s="21" t="s">
        <v>25</v>
      </c>
      <c r="C38" s="21">
        <v>425</v>
      </c>
      <c r="D38" s="21">
        <v>410</v>
      </c>
      <c r="E38" s="7">
        <v>3.51</v>
      </c>
      <c r="F38" s="7">
        <v>1.4</v>
      </c>
      <c r="G38" s="5">
        <f t="shared" si="0"/>
        <v>560</v>
      </c>
      <c r="H38" s="5">
        <f t="shared" si="1"/>
        <v>0.56000000000000005</v>
      </c>
      <c r="I38" s="5">
        <f t="shared" si="2"/>
        <v>1.4039999999999997</v>
      </c>
    </row>
    <row r="39" spans="1:9" x14ac:dyDescent="0.45">
      <c r="A39" s="21" t="s">
        <v>7</v>
      </c>
      <c r="B39" s="21" t="s">
        <v>25</v>
      </c>
      <c r="C39" s="21">
        <v>397</v>
      </c>
      <c r="D39" s="21">
        <v>395</v>
      </c>
      <c r="E39" s="7">
        <v>5.78</v>
      </c>
      <c r="F39" s="7">
        <v>3.04</v>
      </c>
      <c r="G39" s="5">
        <f t="shared" si="0"/>
        <v>1216</v>
      </c>
      <c r="H39" s="5">
        <f t="shared" si="1"/>
        <v>1.216</v>
      </c>
      <c r="I39" s="5">
        <f t="shared" si="2"/>
        <v>2.3120000000000003</v>
      </c>
    </row>
    <row r="40" spans="1:9" x14ac:dyDescent="0.45">
      <c r="A40" s="21" t="s">
        <v>8</v>
      </c>
      <c r="B40" s="21" t="s">
        <v>25</v>
      </c>
      <c r="C40" s="21">
        <v>423</v>
      </c>
      <c r="D40" s="21">
        <v>416</v>
      </c>
      <c r="E40" s="7">
        <v>5.98</v>
      </c>
      <c r="F40" s="7">
        <v>3.06</v>
      </c>
      <c r="G40" s="5">
        <f t="shared" si="0"/>
        <v>1224</v>
      </c>
      <c r="H40" s="5">
        <f t="shared" si="1"/>
        <v>1.224</v>
      </c>
      <c r="I40" s="5">
        <f t="shared" si="2"/>
        <v>2.3920000000000003</v>
      </c>
    </row>
    <row r="41" spans="1:9" x14ac:dyDescent="0.45">
      <c r="A41" s="21" t="s">
        <v>9</v>
      </c>
      <c r="B41" s="21" t="s">
        <v>25</v>
      </c>
      <c r="C41" s="21">
        <v>446</v>
      </c>
      <c r="D41" s="21">
        <v>403</v>
      </c>
      <c r="E41" s="7">
        <v>7.25</v>
      </c>
      <c r="F41" s="7">
        <v>4.0999999999999996</v>
      </c>
      <c r="G41" s="5">
        <f t="shared" si="0"/>
        <v>1640</v>
      </c>
      <c r="H41" s="5">
        <f t="shared" si="1"/>
        <v>1.64</v>
      </c>
      <c r="I41" s="5">
        <f t="shared" si="2"/>
        <v>2.9</v>
      </c>
    </row>
    <row r="42" spans="1:9" x14ac:dyDescent="0.45">
      <c r="A42" s="21" t="s">
        <v>10</v>
      </c>
      <c r="B42" s="21" t="s">
        <v>25</v>
      </c>
      <c r="C42" s="21">
        <v>457</v>
      </c>
      <c r="D42" s="21">
        <v>449</v>
      </c>
      <c r="E42" s="7">
        <v>7.08</v>
      </c>
      <c r="F42" s="7">
        <v>3.77</v>
      </c>
      <c r="G42" s="5">
        <f t="shared" si="0"/>
        <v>1508</v>
      </c>
      <c r="H42" s="5">
        <f t="shared" si="1"/>
        <v>1.508</v>
      </c>
      <c r="I42" s="5">
        <f t="shared" si="2"/>
        <v>2.8319999999999999</v>
      </c>
    </row>
    <row r="43" spans="1:9" x14ac:dyDescent="0.45">
      <c r="A43" s="21" t="s">
        <v>11</v>
      </c>
      <c r="B43" s="21" t="s">
        <v>25</v>
      </c>
      <c r="C43" s="21">
        <v>420</v>
      </c>
      <c r="D43" s="21">
        <v>407</v>
      </c>
      <c r="E43" s="7">
        <v>8.7200000000000006</v>
      </c>
      <c r="F43" s="7">
        <v>3.66</v>
      </c>
      <c r="G43" s="5">
        <f t="shared" si="0"/>
        <v>1464</v>
      </c>
      <c r="H43" s="5">
        <f t="shared" si="1"/>
        <v>1.464</v>
      </c>
      <c r="I43" s="5">
        <f t="shared" si="2"/>
        <v>3.488</v>
      </c>
    </row>
    <row r="44" spans="1:9" x14ac:dyDescent="0.45">
      <c r="A44" s="21" t="s">
        <v>12</v>
      </c>
      <c r="B44" s="21" t="s">
        <v>25</v>
      </c>
      <c r="C44" s="21">
        <v>490</v>
      </c>
      <c r="D44" s="21">
        <v>403</v>
      </c>
      <c r="E44" s="7">
        <v>5.7</v>
      </c>
      <c r="F44" s="7">
        <v>2.8</v>
      </c>
      <c r="G44" s="5">
        <f t="shared" si="0"/>
        <v>1120</v>
      </c>
      <c r="H44" s="5">
        <f t="shared" si="1"/>
        <v>1.1200000000000001</v>
      </c>
      <c r="I44" s="5">
        <f t="shared" si="2"/>
        <v>2.2799999999999998</v>
      </c>
    </row>
    <row r="45" spans="1:9" x14ac:dyDescent="0.45">
      <c r="A45" s="21" t="s">
        <v>13</v>
      </c>
      <c r="B45" s="21" t="s">
        <v>25</v>
      </c>
      <c r="C45" s="21">
        <v>463</v>
      </c>
      <c r="D45" s="21">
        <v>426</v>
      </c>
      <c r="E45" s="7">
        <v>8.41</v>
      </c>
      <c r="F45" s="7">
        <v>4.5</v>
      </c>
      <c r="G45" s="5">
        <f t="shared" si="0"/>
        <v>1800</v>
      </c>
      <c r="H45" s="5">
        <f t="shared" si="1"/>
        <v>1.8</v>
      </c>
      <c r="I45" s="5">
        <f t="shared" si="2"/>
        <v>3.3639999999999999</v>
      </c>
    </row>
    <row r="46" spans="1:9" x14ac:dyDescent="0.45">
      <c r="A46" s="21" t="s">
        <v>14</v>
      </c>
      <c r="B46" s="21" t="s">
        <v>25</v>
      </c>
      <c r="C46" s="21">
        <v>433</v>
      </c>
      <c r="D46" s="21">
        <v>403</v>
      </c>
      <c r="E46" s="7">
        <v>7.34</v>
      </c>
      <c r="F46" s="7">
        <v>3.84</v>
      </c>
      <c r="G46" s="5">
        <f t="shared" si="0"/>
        <v>1536</v>
      </c>
      <c r="H46" s="5">
        <f t="shared" si="1"/>
        <v>1.536</v>
      </c>
      <c r="I46" s="5">
        <f t="shared" si="2"/>
        <v>2.9360000000000004</v>
      </c>
    </row>
    <row r="47" spans="1:9" x14ac:dyDescent="0.45">
      <c r="A47" s="21" t="s">
        <v>15</v>
      </c>
      <c r="B47" s="21" t="s">
        <v>25</v>
      </c>
      <c r="C47" s="21">
        <v>442</v>
      </c>
      <c r="D47" s="21">
        <v>429</v>
      </c>
      <c r="E47" s="7">
        <v>5.31</v>
      </c>
      <c r="F47" s="7">
        <v>3.2</v>
      </c>
      <c r="G47" s="5">
        <f t="shared" si="0"/>
        <v>1280</v>
      </c>
      <c r="H47" s="5">
        <f t="shared" si="1"/>
        <v>1.28</v>
      </c>
      <c r="I47" s="5">
        <f t="shared" si="2"/>
        <v>2.1239999999999997</v>
      </c>
    </row>
    <row r="48" spans="1:9" x14ac:dyDescent="0.45">
      <c r="A48" s="21" t="s">
        <v>16</v>
      </c>
      <c r="B48" s="21" t="s">
        <v>25</v>
      </c>
      <c r="C48" s="21">
        <v>370</v>
      </c>
      <c r="D48" s="21">
        <v>365</v>
      </c>
      <c r="E48" s="7">
        <v>8.98</v>
      </c>
      <c r="F48" s="7">
        <v>4.3</v>
      </c>
      <c r="G48" s="5">
        <f t="shared" si="0"/>
        <v>1720</v>
      </c>
      <c r="H48" s="5">
        <f t="shared" si="1"/>
        <v>1.72</v>
      </c>
      <c r="I48" s="5">
        <f t="shared" si="2"/>
        <v>3.5920000000000005</v>
      </c>
    </row>
    <row r="49" spans="1:9" x14ac:dyDescent="0.45">
      <c r="A49" s="21" t="s">
        <v>17</v>
      </c>
      <c r="B49" s="21" t="s">
        <v>25</v>
      </c>
      <c r="C49" s="21">
        <v>474</v>
      </c>
      <c r="D49" s="21">
        <v>430</v>
      </c>
      <c r="E49" s="7">
        <v>9.7899999999999991</v>
      </c>
      <c r="F49" s="7">
        <v>4.8</v>
      </c>
      <c r="G49" s="5">
        <f t="shared" si="0"/>
        <v>1920</v>
      </c>
      <c r="H49" s="5">
        <f t="shared" si="1"/>
        <v>1.92</v>
      </c>
      <c r="I49" s="5">
        <f t="shared" si="2"/>
        <v>3.9159999999999995</v>
      </c>
    </row>
    <row r="50" spans="1:9" x14ac:dyDescent="0.45">
      <c r="A50" s="21" t="s">
        <v>18</v>
      </c>
      <c r="B50" s="21" t="s">
        <v>25</v>
      </c>
      <c r="C50" s="21">
        <v>447</v>
      </c>
      <c r="D50" s="21">
        <v>401</v>
      </c>
      <c r="E50" s="7">
        <v>10.99</v>
      </c>
      <c r="F50" s="7">
        <v>5.77</v>
      </c>
      <c r="G50" s="5">
        <f t="shared" si="0"/>
        <v>2307.9999999999995</v>
      </c>
      <c r="H50" s="5">
        <f t="shared" si="1"/>
        <v>2.3079999999999994</v>
      </c>
      <c r="I50" s="5">
        <f t="shared" si="2"/>
        <v>4.3959999999999999</v>
      </c>
    </row>
    <row r="51" spans="1:9" x14ac:dyDescent="0.45">
      <c r="A51" s="21" t="s">
        <v>19</v>
      </c>
      <c r="B51" s="21" t="s">
        <v>25</v>
      </c>
      <c r="C51" s="21">
        <v>422</v>
      </c>
      <c r="D51" s="21">
        <v>417</v>
      </c>
      <c r="E51" s="7">
        <v>10.199999999999999</v>
      </c>
      <c r="F51" s="7">
        <v>4.88</v>
      </c>
      <c r="G51" s="5">
        <f t="shared" si="0"/>
        <v>1952</v>
      </c>
      <c r="H51" s="5">
        <f t="shared" si="1"/>
        <v>1.952</v>
      </c>
      <c r="I51" s="5">
        <f t="shared" si="2"/>
        <v>4.08</v>
      </c>
    </row>
    <row r="52" spans="1:9" x14ac:dyDescent="0.45">
      <c r="A52" s="21" t="s">
        <v>20</v>
      </c>
      <c r="B52" s="21" t="s">
        <v>25</v>
      </c>
      <c r="C52" s="21">
        <v>369</v>
      </c>
      <c r="D52" s="21">
        <v>364</v>
      </c>
      <c r="E52" s="7">
        <v>8.9700000000000006</v>
      </c>
      <c r="F52" s="7">
        <v>4.5199999999999996</v>
      </c>
      <c r="G52" s="5">
        <f t="shared" si="0"/>
        <v>1807.9999999999998</v>
      </c>
      <c r="H52" s="5">
        <f t="shared" si="1"/>
        <v>1.8079999999999998</v>
      </c>
      <c r="I52" s="5">
        <f t="shared" si="2"/>
        <v>3.5880000000000001</v>
      </c>
    </row>
    <row r="53" spans="1:9" x14ac:dyDescent="0.45">
      <c r="A53" s="21" t="s">
        <v>21</v>
      </c>
      <c r="B53" s="21" t="s">
        <v>25</v>
      </c>
      <c r="C53" s="21">
        <v>458</v>
      </c>
      <c r="D53" s="21">
        <v>440</v>
      </c>
      <c r="E53" s="7">
        <v>6.13</v>
      </c>
      <c r="F53" s="7">
        <v>3.33</v>
      </c>
      <c r="G53" s="5">
        <f t="shared" si="0"/>
        <v>1332</v>
      </c>
      <c r="H53" s="5">
        <f t="shared" si="1"/>
        <v>1.3320000000000001</v>
      </c>
      <c r="I53" s="5">
        <f t="shared" si="2"/>
        <v>2.452</v>
      </c>
    </row>
    <row r="54" spans="1:9" x14ac:dyDescent="0.45">
      <c r="A54" s="21" t="s">
        <v>22</v>
      </c>
      <c r="B54" s="21" t="s">
        <v>25</v>
      </c>
      <c r="C54" s="21">
        <v>484</v>
      </c>
      <c r="D54" s="21">
        <v>431</v>
      </c>
      <c r="E54" s="7">
        <v>4.66</v>
      </c>
      <c r="F54" s="7">
        <v>2.62</v>
      </c>
      <c r="G54" s="5">
        <f t="shared" si="0"/>
        <v>1048</v>
      </c>
      <c r="H54" s="5">
        <f t="shared" si="1"/>
        <v>1.048</v>
      </c>
      <c r="I54" s="5">
        <f t="shared" si="2"/>
        <v>1.8640000000000001</v>
      </c>
    </row>
    <row r="55" spans="1:9" x14ac:dyDescent="0.45">
      <c r="A55" s="21" t="s">
        <v>23</v>
      </c>
      <c r="B55" s="21" t="s">
        <v>25</v>
      </c>
      <c r="C55" s="21">
        <v>447</v>
      </c>
      <c r="D55" s="21">
        <v>437</v>
      </c>
      <c r="E55" s="7">
        <v>5.42</v>
      </c>
      <c r="F55" s="7">
        <v>2.88</v>
      </c>
      <c r="G55" s="5">
        <f t="shared" si="0"/>
        <v>1152</v>
      </c>
      <c r="H55" s="5">
        <f t="shared" si="1"/>
        <v>1.1519999999999999</v>
      </c>
      <c r="I55" s="5">
        <f t="shared" si="2"/>
        <v>2.1680000000000001</v>
      </c>
    </row>
    <row r="56" spans="1:9" x14ac:dyDescent="0.45">
      <c r="A56" s="21" t="s">
        <v>5</v>
      </c>
      <c r="B56" s="21" t="s">
        <v>26</v>
      </c>
      <c r="C56" s="21">
        <v>340</v>
      </c>
      <c r="D56" s="21">
        <v>336</v>
      </c>
      <c r="E56" s="7">
        <v>6.57</v>
      </c>
      <c r="F56" s="7">
        <v>3.33</v>
      </c>
      <c r="G56" s="5">
        <f t="shared" si="0"/>
        <v>1332</v>
      </c>
      <c r="H56" s="5">
        <f t="shared" si="1"/>
        <v>1.3320000000000001</v>
      </c>
      <c r="I56" s="5">
        <f t="shared" si="2"/>
        <v>2.6280000000000001</v>
      </c>
    </row>
    <row r="57" spans="1:9" x14ac:dyDescent="0.45">
      <c r="A57" s="21" t="s">
        <v>7</v>
      </c>
      <c r="B57" s="21" t="s">
        <v>26</v>
      </c>
      <c r="C57" s="21">
        <v>417</v>
      </c>
      <c r="D57" s="21">
        <v>412</v>
      </c>
      <c r="E57" s="7">
        <v>6.94</v>
      </c>
      <c r="F57" s="7">
        <v>3.8</v>
      </c>
      <c r="G57" s="5">
        <f t="shared" si="0"/>
        <v>1520</v>
      </c>
      <c r="H57" s="5">
        <f t="shared" si="1"/>
        <v>1.52</v>
      </c>
      <c r="I57" s="5">
        <f t="shared" si="2"/>
        <v>2.7760000000000002</v>
      </c>
    </row>
    <row r="58" spans="1:9" x14ac:dyDescent="0.45">
      <c r="A58" s="21" t="s">
        <v>8</v>
      </c>
      <c r="B58" s="21" t="s">
        <v>26</v>
      </c>
      <c r="C58" s="21">
        <v>302</v>
      </c>
      <c r="D58" s="21">
        <v>229</v>
      </c>
      <c r="E58" s="7">
        <v>6.28</v>
      </c>
      <c r="F58" s="7">
        <v>3.28</v>
      </c>
      <c r="G58" s="5">
        <f t="shared" si="0"/>
        <v>1312</v>
      </c>
      <c r="H58" s="5">
        <f t="shared" si="1"/>
        <v>1.3120000000000001</v>
      </c>
      <c r="I58" s="5">
        <f t="shared" si="2"/>
        <v>2.512</v>
      </c>
    </row>
    <row r="59" spans="1:9" x14ac:dyDescent="0.45">
      <c r="A59" s="21" t="s">
        <v>9</v>
      </c>
      <c r="B59" s="21" t="s">
        <v>26</v>
      </c>
      <c r="C59" s="21">
        <v>398</v>
      </c>
      <c r="D59" s="21">
        <v>316</v>
      </c>
      <c r="E59" s="7">
        <v>7.92</v>
      </c>
      <c r="F59" s="7">
        <v>4.76</v>
      </c>
      <c r="G59" s="5">
        <f t="shared" si="0"/>
        <v>1904</v>
      </c>
      <c r="H59" s="5">
        <f t="shared" si="1"/>
        <v>1.9039999999999999</v>
      </c>
      <c r="I59" s="5">
        <f t="shared" si="2"/>
        <v>3.1680000000000001</v>
      </c>
    </row>
    <row r="60" spans="1:9" x14ac:dyDescent="0.45">
      <c r="A60" s="21" t="s">
        <v>10</v>
      </c>
      <c r="B60" s="21" t="s">
        <v>26</v>
      </c>
      <c r="C60" s="21">
        <v>370</v>
      </c>
      <c r="D60" s="21">
        <v>367</v>
      </c>
      <c r="E60" s="7">
        <v>6.48</v>
      </c>
      <c r="F60" s="7">
        <v>3.5</v>
      </c>
      <c r="G60" s="5">
        <f t="shared" si="0"/>
        <v>1400</v>
      </c>
      <c r="H60" s="5">
        <f t="shared" si="1"/>
        <v>1.4</v>
      </c>
      <c r="I60" s="5">
        <f t="shared" si="2"/>
        <v>2.5920000000000005</v>
      </c>
    </row>
    <row r="61" spans="1:9" x14ac:dyDescent="0.45">
      <c r="A61" s="21" t="s">
        <v>11</v>
      </c>
      <c r="B61" s="21" t="s">
        <v>26</v>
      </c>
      <c r="C61" s="21">
        <v>332</v>
      </c>
      <c r="D61" s="21">
        <v>332</v>
      </c>
      <c r="E61" s="7">
        <v>7.5</v>
      </c>
      <c r="F61" s="7">
        <v>3.15</v>
      </c>
      <c r="G61" s="5">
        <f t="shared" si="0"/>
        <v>1260</v>
      </c>
      <c r="H61" s="5">
        <f t="shared" si="1"/>
        <v>1.26</v>
      </c>
      <c r="I61" s="5">
        <f t="shared" si="2"/>
        <v>3</v>
      </c>
    </row>
    <row r="62" spans="1:9" x14ac:dyDescent="0.45">
      <c r="A62" s="21" t="s">
        <v>12</v>
      </c>
      <c r="B62" s="21" t="s">
        <v>26</v>
      </c>
      <c r="C62" s="21">
        <v>465</v>
      </c>
      <c r="D62" s="21">
        <v>363</v>
      </c>
      <c r="E62" s="7">
        <v>5.64</v>
      </c>
      <c r="F62" s="7">
        <v>3.16</v>
      </c>
      <c r="G62" s="5">
        <f t="shared" si="0"/>
        <v>1264</v>
      </c>
      <c r="H62" s="5">
        <f t="shared" si="1"/>
        <v>1.264</v>
      </c>
      <c r="I62" s="5">
        <f t="shared" si="2"/>
        <v>2.2559999999999998</v>
      </c>
    </row>
    <row r="63" spans="1:9" x14ac:dyDescent="0.45">
      <c r="A63" s="21" t="s">
        <v>13</v>
      </c>
      <c r="B63" s="21" t="s">
        <v>26</v>
      </c>
      <c r="C63" s="21">
        <v>362</v>
      </c>
      <c r="D63" s="21">
        <v>331</v>
      </c>
      <c r="E63" s="7">
        <v>6.78</v>
      </c>
      <c r="F63" s="7">
        <v>3.62</v>
      </c>
      <c r="G63" s="5">
        <f t="shared" si="0"/>
        <v>1448</v>
      </c>
      <c r="H63" s="5">
        <f t="shared" si="1"/>
        <v>1.448</v>
      </c>
      <c r="I63" s="5">
        <f t="shared" si="2"/>
        <v>2.7119999999999997</v>
      </c>
    </row>
    <row r="64" spans="1:9" x14ac:dyDescent="0.45">
      <c r="A64" s="21" t="s">
        <v>14</v>
      </c>
      <c r="B64" s="21" t="s">
        <v>26</v>
      </c>
      <c r="C64" s="21">
        <v>337</v>
      </c>
      <c r="D64" s="21">
        <v>334</v>
      </c>
      <c r="E64" s="7">
        <v>7.94</v>
      </c>
      <c r="F64" s="7">
        <v>4</v>
      </c>
      <c r="G64" s="5">
        <f t="shared" si="0"/>
        <v>1600</v>
      </c>
      <c r="H64" s="5">
        <f t="shared" si="1"/>
        <v>1.6</v>
      </c>
      <c r="I64" s="5">
        <f t="shared" si="2"/>
        <v>3.1760000000000002</v>
      </c>
    </row>
    <row r="65" spans="1:9" x14ac:dyDescent="0.45">
      <c r="A65" s="21" t="s">
        <v>15</v>
      </c>
      <c r="B65" s="21" t="s">
        <v>26</v>
      </c>
      <c r="C65" s="21">
        <v>452</v>
      </c>
      <c r="D65" s="21">
        <v>448</v>
      </c>
      <c r="E65" s="7">
        <v>6.27</v>
      </c>
      <c r="F65" s="7">
        <v>3.49</v>
      </c>
      <c r="G65" s="5">
        <f t="shared" si="0"/>
        <v>1396</v>
      </c>
      <c r="H65" s="5">
        <f t="shared" si="1"/>
        <v>1.3959999999999999</v>
      </c>
      <c r="I65" s="5">
        <f t="shared" si="2"/>
        <v>2.508</v>
      </c>
    </row>
    <row r="66" spans="1:9" x14ac:dyDescent="0.45">
      <c r="A66" s="21" t="s">
        <v>16</v>
      </c>
      <c r="B66" s="21" t="s">
        <v>26</v>
      </c>
      <c r="C66" s="21">
        <v>390</v>
      </c>
      <c r="D66" s="21">
        <v>390</v>
      </c>
      <c r="E66" s="7">
        <v>8.4</v>
      </c>
      <c r="F66" s="7">
        <v>4.0999999999999996</v>
      </c>
      <c r="G66" s="5">
        <f t="shared" si="0"/>
        <v>1640</v>
      </c>
      <c r="H66" s="5">
        <f t="shared" si="1"/>
        <v>1.64</v>
      </c>
      <c r="I66" s="5">
        <f t="shared" si="2"/>
        <v>3.36</v>
      </c>
    </row>
    <row r="67" spans="1:9" x14ac:dyDescent="0.45">
      <c r="A67" s="21" t="s">
        <v>17</v>
      </c>
      <c r="B67" s="21" t="s">
        <v>26</v>
      </c>
      <c r="C67" s="21">
        <v>448</v>
      </c>
      <c r="D67" s="21">
        <v>440</v>
      </c>
      <c r="E67" s="7">
        <v>10.51</v>
      </c>
      <c r="F67" s="7">
        <v>5.66</v>
      </c>
      <c r="G67" s="5">
        <f t="shared" ref="G67:G109" si="3">F67*10000/25</f>
        <v>2264</v>
      </c>
      <c r="H67" s="5">
        <f t="shared" ref="H67:H109" si="4">G67/1000</f>
        <v>2.2639999999999998</v>
      </c>
      <c r="I67" s="5">
        <f t="shared" ref="I67:I109" si="5">E67*10/25</f>
        <v>4.2039999999999997</v>
      </c>
    </row>
    <row r="68" spans="1:9" x14ac:dyDescent="0.45">
      <c r="A68" s="21" t="s">
        <v>18</v>
      </c>
      <c r="B68" s="21" t="s">
        <v>26</v>
      </c>
      <c r="C68" s="21">
        <v>365</v>
      </c>
      <c r="D68" s="21">
        <v>362</v>
      </c>
      <c r="E68" s="7">
        <v>7.7</v>
      </c>
      <c r="F68" s="7">
        <v>4.12</v>
      </c>
      <c r="G68" s="5">
        <f t="shared" si="3"/>
        <v>1648</v>
      </c>
      <c r="H68" s="5">
        <f t="shared" si="4"/>
        <v>1.6479999999999999</v>
      </c>
      <c r="I68" s="5">
        <f t="shared" si="5"/>
        <v>3.08</v>
      </c>
    </row>
    <row r="69" spans="1:9" x14ac:dyDescent="0.45">
      <c r="A69" s="21" t="s">
        <v>19</v>
      </c>
      <c r="B69" s="21" t="s">
        <v>26</v>
      </c>
      <c r="C69" s="21">
        <v>452</v>
      </c>
      <c r="D69" s="21">
        <v>407</v>
      </c>
      <c r="E69" s="7">
        <v>6.2</v>
      </c>
      <c r="F69" s="7">
        <v>3.39</v>
      </c>
      <c r="G69" s="5">
        <f t="shared" si="3"/>
        <v>1356</v>
      </c>
      <c r="H69" s="5">
        <f t="shared" si="4"/>
        <v>1.3560000000000001</v>
      </c>
      <c r="I69" s="5">
        <f t="shared" si="5"/>
        <v>2.48</v>
      </c>
    </row>
    <row r="70" spans="1:9" x14ac:dyDescent="0.45">
      <c r="A70" s="21" t="s">
        <v>20</v>
      </c>
      <c r="B70" s="21" t="s">
        <v>26</v>
      </c>
      <c r="C70" s="21">
        <v>412</v>
      </c>
      <c r="D70" s="21">
        <v>406</v>
      </c>
      <c r="E70" s="7">
        <v>8.57</v>
      </c>
      <c r="F70" s="7">
        <v>4.6500000000000004</v>
      </c>
      <c r="G70" s="5">
        <f t="shared" si="3"/>
        <v>1860</v>
      </c>
      <c r="H70" s="5">
        <f t="shared" si="4"/>
        <v>1.86</v>
      </c>
      <c r="I70" s="5">
        <f t="shared" si="5"/>
        <v>3.4279999999999999</v>
      </c>
    </row>
    <row r="71" spans="1:9" x14ac:dyDescent="0.45">
      <c r="A71" s="21" t="s">
        <v>21</v>
      </c>
      <c r="B71" s="21" t="s">
        <v>26</v>
      </c>
      <c r="C71" s="21">
        <v>425</v>
      </c>
      <c r="D71" s="21">
        <v>410</v>
      </c>
      <c r="E71" s="7">
        <v>5.64</v>
      </c>
      <c r="F71" s="7">
        <v>2.0299999999999998</v>
      </c>
      <c r="G71" s="5">
        <f t="shared" si="3"/>
        <v>811.99999999999989</v>
      </c>
      <c r="H71" s="5">
        <f t="shared" si="4"/>
        <v>0.81199999999999983</v>
      </c>
      <c r="I71" s="5">
        <f t="shared" si="5"/>
        <v>2.2559999999999998</v>
      </c>
    </row>
    <row r="72" spans="1:9" x14ac:dyDescent="0.45">
      <c r="A72" s="21" t="s">
        <v>22</v>
      </c>
      <c r="B72" s="21" t="s">
        <v>26</v>
      </c>
      <c r="C72" s="21">
        <v>399</v>
      </c>
      <c r="D72" s="21">
        <v>382</v>
      </c>
      <c r="E72" s="7">
        <v>6.26</v>
      </c>
      <c r="F72" s="7">
        <v>3.36</v>
      </c>
      <c r="G72" s="5">
        <f t="shared" si="3"/>
        <v>1344</v>
      </c>
      <c r="H72" s="5">
        <f t="shared" si="4"/>
        <v>1.3440000000000001</v>
      </c>
      <c r="I72" s="5">
        <f t="shared" si="5"/>
        <v>2.5039999999999996</v>
      </c>
    </row>
    <row r="73" spans="1:9" x14ac:dyDescent="0.45">
      <c r="A73" s="21" t="s">
        <v>23</v>
      </c>
      <c r="B73" s="21" t="s">
        <v>26</v>
      </c>
      <c r="C73" s="21">
        <v>438</v>
      </c>
      <c r="D73" s="21">
        <v>375</v>
      </c>
      <c r="E73" s="7">
        <v>6.38</v>
      </c>
      <c r="F73" s="7">
        <v>3.44</v>
      </c>
      <c r="G73" s="5">
        <f t="shared" si="3"/>
        <v>1376</v>
      </c>
      <c r="H73" s="5">
        <f t="shared" si="4"/>
        <v>1.3759999999999999</v>
      </c>
      <c r="I73" s="5">
        <f t="shared" si="5"/>
        <v>2.552</v>
      </c>
    </row>
    <row r="74" spans="1:9" x14ac:dyDescent="0.45">
      <c r="A74" s="21" t="s">
        <v>5</v>
      </c>
      <c r="B74" s="21" t="s">
        <v>27</v>
      </c>
      <c r="C74" s="21">
        <v>261</v>
      </c>
      <c r="D74" s="21">
        <v>260</v>
      </c>
      <c r="E74" s="7">
        <v>2.75</v>
      </c>
      <c r="F74" s="7">
        <v>1.93</v>
      </c>
      <c r="G74" s="5">
        <f t="shared" si="3"/>
        <v>772</v>
      </c>
      <c r="H74" s="5">
        <f t="shared" si="4"/>
        <v>0.77200000000000002</v>
      </c>
      <c r="I74" s="5">
        <f t="shared" si="5"/>
        <v>1.1000000000000001</v>
      </c>
    </row>
    <row r="75" spans="1:9" x14ac:dyDescent="0.45">
      <c r="A75" s="21" t="s">
        <v>7</v>
      </c>
      <c r="B75" s="21" t="s">
        <v>27</v>
      </c>
      <c r="C75" s="21">
        <v>416</v>
      </c>
      <c r="D75" s="21">
        <v>385</v>
      </c>
      <c r="E75" s="7">
        <v>4.3</v>
      </c>
      <c r="F75" s="7">
        <v>2.2400000000000002</v>
      </c>
      <c r="G75" s="5">
        <f t="shared" si="3"/>
        <v>896.00000000000011</v>
      </c>
      <c r="H75" s="5">
        <f t="shared" si="4"/>
        <v>0.89600000000000013</v>
      </c>
      <c r="I75" s="5">
        <f t="shared" si="5"/>
        <v>1.72</v>
      </c>
    </row>
    <row r="76" spans="1:9" x14ac:dyDescent="0.45">
      <c r="A76" s="21" t="s">
        <v>8</v>
      </c>
      <c r="B76" s="21" t="s">
        <v>27</v>
      </c>
      <c r="C76" s="21">
        <v>456</v>
      </c>
      <c r="D76" s="21">
        <v>456</v>
      </c>
      <c r="E76" s="7">
        <v>4.58</v>
      </c>
      <c r="F76" s="7">
        <v>2.9</v>
      </c>
      <c r="G76" s="5">
        <f t="shared" si="3"/>
        <v>1160</v>
      </c>
      <c r="H76" s="5">
        <f t="shared" si="4"/>
        <v>1.1599999999999999</v>
      </c>
      <c r="I76" s="5">
        <f t="shared" si="5"/>
        <v>1.8319999999999999</v>
      </c>
    </row>
    <row r="77" spans="1:9" x14ac:dyDescent="0.45">
      <c r="A77" s="21" t="s">
        <v>9</v>
      </c>
      <c r="B77" s="21" t="s">
        <v>27</v>
      </c>
      <c r="C77" s="21">
        <v>453</v>
      </c>
      <c r="D77" s="21">
        <v>443</v>
      </c>
      <c r="E77" s="7">
        <v>8.3000000000000007</v>
      </c>
      <c r="F77" s="7">
        <v>4.2</v>
      </c>
      <c r="G77" s="5">
        <f t="shared" si="3"/>
        <v>1680</v>
      </c>
      <c r="H77" s="5">
        <f t="shared" si="4"/>
        <v>1.68</v>
      </c>
      <c r="I77" s="5">
        <f t="shared" si="5"/>
        <v>3.32</v>
      </c>
    </row>
    <row r="78" spans="1:9" x14ac:dyDescent="0.45">
      <c r="A78" s="21" t="s">
        <v>10</v>
      </c>
      <c r="B78" s="21" t="s">
        <v>27</v>
      </c>
      <c r="C78" s="21">
        <v>430</v>
      </c>
      <c r="D78" s="21">
        <v>428</v>
      </c>
      <c r="E78" s="7">
        <v>6</v>
      </c>
      <c r="F78" s="7">
        <v>3.18</v>
      </c>
      <c r="G78" s="5">
        <f t="shared" si="3"/>
        <v>1272</v>
      </c>
      <c r="H78" s="5">
        <f t="shared" si="4"/>
        <v>1.272</v>
      </c>
      <c r="I78" s="5">
        <f t="shared" si="5"/>
        <v>2.4</v>
      </c>
    </row>
    <row r="79" spans="1:9" x14ac:dyDescent="0.45">
      <c r="A79" s="21" t="s">
        <v>11</v>
      </c>
      <c r="B79" s="21" t="s">
        <v>27</v>
      </c>
      <c r="C79" s="21">
        <v>427</v>
      </c>
      <c r="D79" s="21">
        <v>359</v>
      </c>
      <c r="E79" s="7">
        <v>6.44</v>
      </c>
      <c r="F79" s="7">
        <v>3.43</v>
      </c>
      <c r="G79" s="5">
        <f t="shared" si="3"/>
        <v>1372</v>
      </c>
      <c r="H79" s="5">
        <f t="shared" si="4"/>
        <v>1.3720000000000001</v>
      </c>
      <c r="I79" s="5">
        <f t="shared" si="5"/>
        <v>2.5760000000000001</v>
      </c>
    </row>
    <row r="80" spans="1:9" x14ac:dyDescent="0.45">
      <c r="A80" s="21" t="s">
        <v>12</v>
      </c>
      <c r="B80" s="21" t="s">
        <v>27</v>
      </c>
      <c r="C80" s="21">
        <v>425</v>
      </c>
      <c r="D80" s="21">
        <v>424</v>
      </c>
      <c r="E80" s="7">
        <v>6</v>
      </c>
      <c r="F80" s="7">
        <v>3.37</v>
      </c>
      <c r="G80" s="5">
        <f t="shared" si="3"/>
        <v>1348</v>
      </c>
      <c r="H80" s="5">
        <f t="shared" si="4"/>
        <v>1.3480000000000001</v>
      </c>
      <c r="I80" s="5">
        <f t="shared" si="5"/>
        <v>2.4</v>
      </c>
    </row>
    <row r="81" spans="1:9" x14ac:dyDescent="0.45">
      <c r="A81" s="21" t="s">
        <v>13</v>
      </c>
      <c r="B81" s="21" t="s">
        <v>27</v>
      </c>
      <c r="C81" s="21">
        <v>449</v>
      </c>
      <c r="D81" s="21">
        <v>428</v>
      </c>
      <c r="E81" s="7">
        <v>7.81</v>
      </c>
      <c r="F81" s="7">
        <v>3.87</v>
      </c>
      <c r="G81" s="5">
        <f t="shared" si="3"/>
        <v>1548</v>
      </c>
      <c r="H81" s="5">
        <f t="shared" si="4"/>
        <v>1.548</v>
      </c>
      <c r="I81" s="5">
        <f t="shared" si="5"/>
        <v>3.1239999999999997</v>
      </c>
    </row>
    <row r="82" spans="1:9" x14ac:dyDescent="0.45">
      <c r="A82" s="21" t="s">
        <v>14</v>
      </c>
      <c r="B82" s="21" t="s">
        <v>27</v>
      </c>
      <c r="C82" s="21">
        <v>407</v>
      </c>
      <c r="D82" s="21">
        <v>406</v>
      </c>
      <c r="E82" s="7">
        <v>6.65</v>
      </c>
      <c r="F82" s="7">
        <v>3.39</v>
      </c>
      <c r="G82" s="5">
        <f t="shared" si="3"/>
        <v>1356</v>
      </c>
      <c r="H82" s="5">
        <f t="shared" si="4"/>
        <v>1.3560000000000001</v>
      </c>
      <c r="I82" s="5">
        <f t="shared" si="5"/>
        <v>2.66</v>
      </c>
    </row>
    <row r="83" spans="1:9" x14ac:dyDescent="0.45">
      <c r="A83" s="21" t="s">
        <v>15</v>
      </c>
      <c r="B83" s="21" t="s">
        <v>27</v>
      </c>
      <c r="C83" s="21">
        <v>420</v>
      </c>
      <c r="D83" s="21">
        <v>418</v>
      </c>
      <c r="E83" s="7">
        <v>5.89</v>
      </c>
      <c r="F83" s="7">
        <v>2.9</v>
      </c>
      <c r="G83" s="5">
        <f t="shared" si="3"/>
        <v>1160</v>
      </c>
      <c r="H83" s="5">
        <f t="shared" si="4"/>
        <v>1.1599999999999999</v>
      </c>
      <c r="I83" s="5">
        <f t="shared" si="5"/>
        <v>2.3559999999999999</v>
      </c>
    </row>
    <row r="84" spans="1:9" x14ac:dyDescent="0.45">
      <c r="A84" s="21" t="s">
        <v>16</v>
      </c>
      <c r="B84" s="21" t="s">
        <v>27</v>
      </c>
      <c r="C84" s="21">
        <v>326</v>
      </c>
      <c r="D84" s="21">
        <v>325</v>
      </c>
      <c r="E84" s="7">
        <v>8.4</v>
      </c>
      <c r="F84" s="7">
        <v>3.96</v>
      </c>
      <c r="G84" s="5">
        <f t="shared" si="3"/>
        <v>1584</v>
      </c>
      <c r="H84" s="5">
        <f t="shared" si="4"/>
        <v>1.5840000000000001</v>
      </c>
      <c r="I84" s="5">
        <f t="shared" si="5"/>
        <v>3.36</v>
      </c>
    </row>
    <row r="85" spans="1:9" x14ac:dyDescent="0.45">
      <c r="A85" s="21" t="s">
        <v>17</v>
      </c>
      <c r="B85" s="21" t="s">
        <v>27</v>
      </c>
      <c r="C85" s="21">
        <v>490</v>
      </c>
      <c r="D85" s="21">
        <v>408</v>
      </c>
      <c r="E85" s="7">
        <v>11.17</v>
      </c>
      <c r="F85" s="7">
        <v>6</v>
      </c>
      <c r="G85" s="5">
        <f t="shared" si="3"/>
        <v>2400</v>
      </c>
      <c r="H85" s="5">
        <f t="shared" si="4"/>
        <v>2.4</v>
      </c>
      <c r="I85" s="5">
        <f t="shared" si="5"/>
        <v>4.468</v>
      </c>
    </row>
    <row r="86" spans="1:9" x14ac:dyDescent="0.45">
      <c r="A86" s="21" t="s">
        <v>18</v>
      </c>
      <c r="B86" s="21" t="s">
        <v>27</v>
      </c>
      <c r="C86" s="21">
        <v>441</v>
      </c>
      <c r="D86" s="21">
        <v>440</v>
      </c>
      <c r="E86" s="7">
        <v>9.6300000000000008</v>
      </c>
      <c r="F86" s="7">
        <v>5.28</v>
      </c>
      <c r="G86" s="5">
        <f t="shared" si="3"/>
        <v>2112</v>
      </c>
      <c r="H86" s="5">
        <f t="shared" si="4"/>
        <v>2.1120000000000001</v>
      </c>
      <c r="I86" s="5">
        <f t="shared" si="5"/>
        <v>3.8520000000000003</v>
      </c>
    </row>
    <row r="87" spans="1:9" x14ac:dyDescent="0.45">
      <c r="A87" s="21" t="s">
        <v>19</v>
      </c>
      <c r="B87" s="21" t="s">
        <v>27</v>
      </c>
      <c r="C87" s="21">
        <v>404</v>
      </c>
      <c r="D87" s="21">
        <v>372</v>
      </c>
      <c r="E87" s="7">
        <v>6.63</v>
      </c>
      <c r="F87" s="7">
        <v>3.77</v>
      </c>
      <c r="G87" s="5">
        <f t="shared" si="3"/>
        <v>1508</v>
      </c>
      <c r="H87" s="5">
        <f t="shared" si="4"/>
        <v>1.508</v>
      </c>
      <c r="I87" s="5">
        <f t="shared" si="5"/>
        <v>2.6519999999999997</v>
      </c>
    </row>
    <row r="88" spans="1:9" x14ac:dyDescent="0.45">
      <c r="A88" s="21" t="s">
        <v>20</v>
      </c>
      <c r="B88" s="21" t="s">
        <v>27</v>
      </c>
      <c r="C88" s="21">
        <v>424</v>
      </c>
      <c r="D88" s="21">
        <v>337</v>
      </c>
      <c r="E88" s="7">
        <v>7.96</v>
      </c>
      <c r="F88" s="7">
        <v>4.24</v>
      </c>
      <c r="G88" s="5">
        <f t="shared" si="3"/>
        <v>1696</v>
      </c>
      <c r="H88" s="5">
        <f t="shared" si="4"/>
        <v>1.696</v>
      </c>
      <c r="I88" s="5">
        <f t="shared" si="5"/>
        <v>3.1839999999999997</v>
      </c>
    </row>
    <row r="89" spans="1:9" x14ac:dyDescent="0.45">
      <c r="A89" s="21" t="s">
        <v>21</v>
      </c>
      <c r="B89" s="21" t="s">
        <v>27</v>
      </c>
      <c r="C89" s="21">
        <v>409</v>
      </c>
      <c r="D89" s="21">
        <v>407</v>
      </c>
      <c r="E89" s="7">
        <v>6.43</v>
      </c>
      <c r="F89" s="7">
        <v>2.78</v>
      </c>
      <c r="G89" s="5">
        <f t="shared" si="3"/>
        <v>1111.9999999999998</v>
      </c>
      <c r="H89" s="5">
        <f t="shared" si="4"/>
        <v>1.1119999999999999</v>
      </c>
      <c r="I89" s="5">
        <f t="shared" si="5"/>
        <v>2.5720000000000001</v>
      </c>
    </row>
    <row r="90" spans="1:9" x14ac:dyDescent="0.45">
      <c r="A90" s="21" t="s">
        <v>22</v>
      </c>
      <c r="B90" s="21" t="s">
        <v>27</v>
      </c>
      <c r="C90" s="21">
        <v>405</v>
      </c>
      <c r="D90" s="21">
        <v>351</v>
      </c>
      <c r="E90" s="7">
        <v>5.63</v>
      </c>
      <c r="F90" s="7">
        <v>2.84</v>
      </c>
      <c r="G90" s="5">
        <f t="shared" si="3"/>
        <v>1136</v>
      </c>
      <c r="H90" s="5">
        <f t="shared" si="4"/>
        <v>1.1359999999999999</v>
      </c>
      <c r="I90" s="5">
        <f t="shared" si="5"/>
        <v>2.2519999999999998</v>
      </c>
    </row>
    <row r="91" spans="1:9" x14ac:dyDescent="0.45">
      <c r="A91" s="21" t="s">
        <v>23</v>
      </c>
      <c r="B91" s="21" t="s">
        <v>27</v>
      </c>
      <c r="C91" s="21">
        <v>480</v>
      </c>
      <c r="D91" s="21">
        <v>363</v>
      </c>
      <c r="E91" s="7">
        <v>4.78</v>
      </c>
      <c r="F91" s="7">
        <v>2.62</v>
      </c>
      <c r="G91" s="5">
        <f t="shared" si="3"/>
        <v>1048</v>
      </c>
      <c r="H91" s="5">
        <f t="shared" si="4"/>
        <v>1.048</v>
      </c>
      <c r="I91" s="5">
        <f t="shared" si="5"/>
        <v>1.9120000000000001</v>
      </c>
    </row>
    <row r="92" spans="1:9" x14ac:dyDescent="0.45">
      <c r="A92" s="21" t="s">
        <v>5</v>
      </c>
      <c r="B92" s="21" t="s">
        <v>28</v>
      </c>
      <c r="C92" s="21">
        <v>351</v>
      </c>
      <c r="D92" s="21">
        <v>350</v>
      </c>
      <c r="E92" s="7">
        <v>4.07</v>
      </c>
      <c r="F92" s="7">
        <v>2.09</v>
      </c>
      <c r="G92" s="5">
        <f t="shared" si="3"/>
        <v>836</v>
      </c>
      <c r="H92" s="5">
        <f t="shared" si="4"/>
        <v>0.83599999999999997</v>
      </c>
      <c r="I92" s="5">
        <f t="shared" si="5"/>
        <v>1.6280000000000001</v>
      </c>
    </row>
    <row r="93" spans="1:9" x14ac:dyDescent="0.45">
      <c r="A93" s="21" t="s">
        <v>7</v>
      </c>
      <c r="B93" s="21" t="s">
        <v>28</v>
      </c>
      <c r="C93" s="21">
        <v>451</v>
      </c>
      <c r="D93" s="21">
        <v>342</v>
      </c>
      <c r="E93" s="7">
        <v>3.32</v>
      </c>
      <c r="F93" s="7">
        <v>2.5</v>
      </c>
      <c r="G93" s="5">
        <f t="shared" si="3"/>
        <v>1000</v>
      </c>
      <c r="H93" s="5">
        <f t="shared" si="4"/>
        <v>1</v>
      </c>
      <c r="I93" s="5">
        <f t="shared" si="5"/>
        <v>1.3279999999999998</v>
      </c>
    </row>
    <row r="94" spans="1:9" x14ac:dyDescent="0.45">
      <c r="A94" s="21" t="s">
        <v>8</v>
      </c>
      <c r="B94" s="21" t="s">
        <v>28</v>
      </c>
      <c r="C94" s="21">
        <v>447</v>
      </c>
      <c r="D94" s="21">
        <v>305</v>
      </c>
      <c r="E94" s="7">
        <v>5.3</v>
      </c>
      <c r="F94" s="7">
        <v>2.75</v>
      </c>
      <c r="G94" s="5">
        <f t="shared" si="3"/>
        <v>1100</v>
      </c>
      <c r="H94" s="5">
        <f t="shared" si="4"/>
        <v>1.1000000000000001</v>
      </c>
      <c r="I94" s="5">
        <f t="shared" si="5"/>
        <v>2.12</v>
      </c>
    </row>
    <row r="95" spans="1:9" x14ac:dyDescent="0.45">
      <c r="A95" s="21" t="s">
        <v>9</v>
      </c>
      <c r="B95" s="21" t="s">
        <v>28</v>
      </c>
      <c r="C95" s="21">
        <v>379</v>
      </c>
      <c r="D95" s="21">
        <v>363</v>
      </c>
      <c r="E95" s="7">
        <v>8.31</v>
      </c>
      <c r="F95" s="7">
        <v>4.62</v>
      </c>
      <c r="G95" s="5">
        <f t="shared" si="3"/>
        <v>1848</v>
      </c>
      <c r="H95" s="5">
        <f t="shared" si="4"/>
        <v>1.8480000000000001</v>
      </c>
      <c r="I95" s="5">
        <f t="shared" si="5"/>
        <v>3.3240000000000003</v>
      </c>
    </row>
    <row r="96" spans="1:9" x14ac:dyDescent="0.45">
      <c r="A96" s="21" t="s">
        <v>10</v>
      </c>
      <c r="B96" s="21" t="s">
        <v>28</v>
      </c>
      <c r="C96" s="21">
        <v>429</v>
      </c>
      <c r="D96" s="21">
        <v>415</v>
      </c>
      <c r="E96" s="7">
        <v>7.5</v>
      </c>
      <c r="F96" s="7">
        <v>4.0999999999999996</v>
      </c>
      <c r="G96" s="5">
        <f t="shared" si="3"/>
        <v>1640</v>
      </c>
      <c r="H96" s="5">
        <f t="shared" si="4"/>
        <v>1.64</v>
      </c>
      <c r="I96" s="5">
        <f t="shared" si="5"/>
        <v>3</v>
      </c>
    </row>
    <row r="97" spans="1:9" x14ac:dyDescent="0.45">
      <c r="A97" s="21" t="s">
        <v>11</v>
      </c>
      <c r="B97" s="21" t="s">
        <v>28</v>
      </c>
      <c r="C97" s="21">
        <v>455</v>
      </c>
      <c r="D97" s="21">
        <v>450</v>
      </c>
      <c r="E97" s="7">
        <v>6.4</v>
      </c>
      <c r="F97" s="7">
        <v>3.6</v>
      </c>
      <c r="G97" s="5">
        <f t="shared" si="3"/>
        <v>1440</v>
      </c>
      <c r="H97" s="5">
        <f t="shared" si="4"/>
        <v>1.44</v>
      </c>
      <c r="I97" s="5">
        <f t="shared" si="5"/>
        <v>2.56</v>
      </c>
    </row>
    <row r="98" spans="1:9" x14ac:dyDescent="0.45">
      <c r="A98" s="21" t="s">
        <v>12</v>
      </c>
      <c r="B98" s="21" t="s">
        <v>28</v>
      </c>
      <c r="C98" s="21">
        <v>437</v>
      </c>
      <c r="D98" s="21">
        <v>435</v>
      </c>
      <c r="E98" s="7">
        <v>7.29</v>
      </c>
      <c r="F98" s="7">
        <v>4.04</v>
      </c>
      <c r="G98" s="5">
        <f t="shared" si="3"/>
        <v>1616</v>
      </c>
      <c r="H98" s="5">
        <f t="shared" si="4"/>
        <v>1.6160000000000001</v>
      </c>
      <c r="I98" s="5">
        <f t="shared" si="5"/>
        <v>2.9160000000000004</v>
      </c>
    </row>
    <row r="99" spans="1:9" x14ac:dyDescent="0.45">
      <c r="A99" s="21" t="s">
        <v>13</v>
      </c>
      <c r="B99" s="21" t="s">
        <v>28</v>
      </c>
      <c r="C99" s="21">
        <v>400</v>
      </c>
      <c r="D99" s="21">
        <v>362</v>
      </c>
      <c r="E99" s="7">
        <v>8</v>
      </c>
      <c r="F99" s="7">
        <v>4.33</v>
      </c>
      <c r="G99" s="5">
        <f t="shared" si="3"/>
        <v>1732</v>
      </c>
      <c r="H99" s="5">
        <f t="shared" si="4"/>
        <v>1.732</v>
      </c>
      <c r="I99" s="5">
        <f t="shared" si="5"/>
        <v>3.2</v>
      </c>
    </row>
    <row r="100" spans="1:9" x14ac:dyDescent="0.45">
      <c r="A100" s="21" t="s">
        <v>14</v>
      </c>
      <c r="B100" s="21" t="s">
        <v>28</v>
      </c>
      <c r="C100" s="21">
        <v>417</v>
      </c>
      <c r="D100" s="21">
        <v>411</v>
      </c>
      <c r="E100" s="7">
        <v>7.5</v>
      </c>
      <c r="F100" s="7">
        <v>3.71</v>
      </c>
      <c r="G100" s="5">
        <f t="shared" si="3"/>
        <v>1484</v>
      </c>
      <c r="H100" s="5">
        <f t="shared" si="4"/>
        <v>1.484</v>
      </c>
      <c r="I100" s="5">
        <f t="shared" si="5"/>
        <v>3</v>
      </c>
    </row>
    <row r="101" spans="1:9" x14ac:dyDescent="0.45">
      <c r="A101" s="21" t="s">
        <v>15</v>
      </c>
      <c r="B101" s="21" t="s">
        <v>28</v>
      </c>
      <c r="C101" s="21">
        <v>375</v>
      </c>
      <c r="D101" s="21">
        <v>374</v>
      </c>
      <c r="E101" s="7">
        <v>6.24</v>
      </c>
      <c r="F101" s="7">
        <v>3.4</v>
      </c>
      <c r="G101" s="5">
        <f t="shared" si="3"/>
        <v>1360</v>
      </c>
      <c r="H101" s="5">
        <f t="shared" si="4"/>
        <v>1.36</v>
      </c>
      <c r="I101" s="5">
        <f t="shared" si="5"/>
        <v>2.4960000000000004</v>
      </c>
    </row>
    <row r="102" spans="1:9" x14ac:dyDescent="0.45">
      <c r="A102" s="21" t="s">
        <v>16</v>
      </c>
      <c r="B102" s="21" t="s">
        <v>28</v>
      </c>
      <c r="C102" s="21">
        <v>310</v>
      </c>
      <c r="D102" s="21">
        <v>301</v>
      </c>
      <c r="E102" s="7">
        <v>7.5</v>
      </c>
      <c r="F102" s="7">
        <v>4.25</v>
      </c>
      <c r="G102" s="5">
        <f t="shared" si="3"/>
        <v>1700</v>
      </c>
      <c r="H102" s="5">
        <f t="shared" si="4"/>
        <v>1.7</v>
      </c>
      <c r="I102" s="5">
        <f t="shared" si="5"/>
        <v>3</v>
      </c>
    </row>
    <row r="103" spans="1:9" x14ac:dyDescent="0.45">
      <c r="A103" s="21" t="s">
        <v>17</v>
      </c>
      <c r="B103" s="21" t="s">
        <v>28</v>
      </c>
      <c r="C103" s="21">
        <v>427</v>
      </c>
      <c r="D103" s="21">
        <v>400</v>
      </c>
      <c r="E103" s="7">
        <v>10.11</v>
      </c>
      <c r="F103" s="7">
        <v>5.9</v>
      </c>
      <c r="G103" s="5">
        <f t="shared" si="3"/>
        <v>2360</v>
      </c>
      <c r="H103" s="5">
        <f t="shared" si="4"/>
        <v>2.36</v>
      </c>
      <c r="I103" s="5">
        <f t="shared" si="5"/>
        <v>4.0439999999999996</v>
      </c>
    </row>
    <row r="104" spans="1:9" x14ac:dyDescent="0.45">
      <c r="A104" s="21" t="s">
        <v>18</v>
      </c>
      <c r="B104" s="21" t="s">
        <v>28</v>
      </c>
      <c r="C104" s="21">
        <v>467</v>
      </c>
      <c r="D104" s="21">
        <v>393</v>
      </c>
      <c r="E104" s="7">
        <v>8.24</v>
      </c>
      <c r="F104" s="7">
        <v>4.4400000000000004</v>
      </c>
      <c r="G104" s="5">
        <f t="shared" si="3"/>
        <v>1776.0000000000002</v>
      </c>
      <c r="H104" s="5">
        <f t="shared" si="4"/>
        <v>1.7760000000000002</v>
      </c>
      <c r="I104" s="5">
        <f t="shared" si="5"/>
        <v>3.2960000000000003</v>
      </c>
    </row>
    <row r="105" spans="1:9" x14ac:dyDescent="0.45">
      <c r="A105" s="21" t="s">
        <v>19</v>
      </c>
      <c r="B105" s="21" t="s">
        <v>28</v>
      </c>
      <c r="C105" s="21">
        <v>416</v>
      </c>
      <c r="D105" s="21">
        <v>305</v>
      </c>
      <c r="E105" s="7">
        <v>6.09</v>
      </c>
      <c r="F105" s="7">
        <v>3.7</v>
      </c>
      <c r="G105" s="5">
        <f t="shared" si="3"/>
        <v>1480</v>
      </c>
      <c r="H105" s="5">
        <f t="shared" si="4"/>
        <v>1.48</v>
      </c>
      <c r="I105" s="5">
        <f t="shared" si="5"/>
        <v>2.4359999999999999</v>
      </c>
    </row>
    <row r="106" spans="1:9" x14ac:dyDescent="0.45">
      <c r="A106" s="21" t="s">
        <v>20</v>
      </c>
      <c r="B106" s="21" t="s">
        <v>28</v>
      </c>
      <c r="C106" s="21">
        <v>410</v>
      </c>
      <c r="D106" s="21">
        <v>377</v>
      </c>
      <c r="E106" s="7">
        <v>9.4</v>
      </c>
      <c r="F106" s="7">
        <v>4.7699999999999996</v>
      </c>
      <c r="G106" s="5">
        <f t="shared" si="3"/>
        <v>1907.9999999999998</v>
      </c>
      <c r="H106" s="5">
        <f t="shared" si="4"/>
        <v>1.9079999999999997</v>
      </c>
      <c r="I106" s="5">
        <f t="shared" si="5"/>
        <v>3.76</v>
      </c>
    </row>
    <row r="107" spans="1:9" x14ac:dyDescent="0.45">
      <c r="A107" s="21" t="s">
        <v>21</v>
      </c>
      <c r="B107" s="21" t="s">
        <v>28</v>
      </c>
      <c r="C107" s="21">
        <v>367</v>
      </c>
      <c r="D107" s="21">
        <v>360</v>
      </c>
      <c r="E107" s="7">
        <v>7.4</v>
      </c>
      <c r="F107" s="7">
        <v>3.56</v>
      </c>
      <c r="G107" s="5">
        <f t="shared" si="3"/>
        <v>1424</v>
      </c>
      <c r="H107" s="5">
        <f t="shared" si="4"/>
        <v>1.4239999999999999</v>
      </c>
      <c r="I107" s="5">
        <f t="shared" si="5"/>
        <v>2.96</v>
      </c>
    </row>
    <row r="108" spans="1:9" x14ac:dyDescent="0.45">
      <c r="A108" s="21" t="s">
        <v>22</v>
      </c>
      <c r="B108" s="21" t="s">
        <v>28</v>
      </c>
      <c r="C108" s="21">
        <v>371</v>
      </c>
      <c r="D108" s="21">
        <v>288</v>
      </c>
      <c r="E108" s="7">
        <v>5.88</v>
      </c>
      <c r="F108" s="7">
        <v>3.84</v>
      </c>
      <c r="G108" s="5">
        <f t="shared" si="3"/>
        <v>1536</v>
      </c>
      <c r="H108" s="5">
        <f t="shared" si="4"/>
        <v>1.536</v>
      </c>
      <c r="I108" s="5">
        <f t="shared" si="5"/>
        <v>2.3519999999999999</v>
      </c>
    </row>
    <row r="109" spans="1:9" x14ac:dyDescent="0.45">
      <c r="A109" s="21" t="s">
        <v>23</v>
      </c>
      <c r="B109" s="21" t="s">
        <v>28</v>
      </c>
      <c r="C109" s="21">
        <v>389</v>
      </c>
      <c r="D109" s="21">
        <v>283</v>
      </c>
      <c r="E109" s="7">
        <v>4.75</v>
      </c>
      <c r="F109" s="7">
        <v>2.13</v>
      </c>
      <c r="G109" s="5">
        <f t="shared" si="3"/>
        <v>852</v>
      </c>
      <c r="H109" s="5">
        <f t="shared" si="4"/>
        <v>0.85199999999999998</v>
      </c>
      <c r="I109" s="5">
        <f t="shared" si="5"/>
        <v>1.9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4D7E-940D-4150-BAB3-D3AB1B26C6A6}">
  <dimension ref="A1:B19"/>
  <sheetViews>
    <sheetView tabSelected="1" workbookViewId="0">
      <selection activeCell="D14" sqref="D14:I20"/>
    </sheetView>
  </sheetViews>
  <sheetFormatPr defaultRowHeight="14.25" x14ac:dyDescent="0.45"/>
  <cols>
    <col min="1" max="1" width="71.46484375" customWidth="1"/>
  </cols>
  <sheetData>
    <row r="1" spans="1:2" x14ac:dyDescent="0.45">
      <c r="A1" s="5" t="s">
        <v>71</v>
      </c>
      <c r="B1" s="5" t="s">
        <v>69</v>
      </c>
    </row>
    <row r="2" spans="1:2" x14ac:dyDescent="0.45">
      <c r="A2" t="s">
        <v>52</v>
      </c>
      <c r="B2" t="s">
        <v>17</v>
      </c>
    </row>
    <row r="3" spans="1:2" x14ac:dyDescent="0.45">
      <c r="A3" t="s">
        <v>53</v>
      </c>
      <c r="B3" t="s">
        <v>18</v>
      </c>
    </row>
    <row r="4" spans="1:2" x14ac:dyDescent="0.45">
      <c r="A4" s="5" t="s">
        <v>77</v>
      </c>
      <c r="B4" s="23" t="s">
        <v>20</v>
      </c>
    </row>
    <row r="5" spans="1:2" x14ac:dyDescent="0.45">
      <c r="A5" t="s">
        <v>43</v>
      </c>
      <c r="B5" s="23" t="s">
        <v>9</v>
      </c>
    </row>
    <row r="6" spans="1:2" x14ac:dyDescent="0.45">
      <c r="A6" t="s">
        <v>51</v>
      </c>
      <c r="B6" t="s">
        <v>16</v>
      </c>
    </row>
    <row r="7" spans="1:2" x14ac:dyDescent="0.45">
      <c r="A7" t="s">
        <v>54</v>
      </c>
      <c r="B7" t="s">
        <v>19</v>
      </c>
    </row>
    <row r="8" spans="1:2" x14ac:dyDescent="0.45">
      <c r="A8" t="s">
        <v>48</v>
      </c>
      <c r="B8" t="s">
        <v>13</v>
      </c>
    </row>
    <row r="9" spans="1:2" x14ac:dyDescent="0.45">
      <c r="A9" t="s">
        <v>44</v>
      </c>
      <c r="B9" s="23" t="s">
        <v>10</v>
      </c>
    </row>
    <row r="10" spans="1:2" x14ac:dyDescent="0.45">
      <c r="A10" t="s">
        <v>49</v>
      </c>
      <c r="B10" t="s">
        <v>14</v>
      </c>
    </row>
    <row r="11" spans="1:2" x14ac:dyDescent="0.45">
      <c r="A11" s="5" t="s">
        <v>45</v>
      </c>
      <c r="B11" s="23" t="s">
        <v>11</v>
      </c>
    </row>
    <row r="12" spans="1:2" x14ac:dyDescent="0.45">
      <c r="A12" s="5" t="s">
        <v>47</v>
      </c>
      <c r="B12" s="23" t="s">
        <v>12</v>
      </c>
    </row>
    <row r="13" spans="1:2" x14ac:dyDescent="0.45">
      <c r="A13" t="s">
        <v>58</v>
      </c>
      <c r="B13" t="s">
        <v>23</v>
      </c>
    </row>
    <row r="14" spans="1:2" x14ac:dyDescent="0.45">
      <c r="A14" t="s">
        <v>57</v>
      </c>
      <c r="B14" t="s">
        <v>22</v>
      </c>
    </row>
    <row r="15" spans="1:2" x14ac:dyDescent="0.45">
      <c r="A15" t="s">
        <v>50</v>
      </c>
      <c r="B15" t="s">
        <v>15</v>
      </c>
    </row>
    <row r="16" spans="1:2" x14ac:dyDescent="0.45">
      <c r="A16" t="s">
        <v>42</v>
      </c>
      <c r="B16" t="s">
        <v>8</v>
      </c>
    </row>
    <row r="17" spans="1:2" x14ac:dyDescent="0.45">
      <c r="A17" t="s">
        <v>38</v>
      </c>
      <c r="B17" s="23" t="s">
        <v>7</v>
      </c>
    </row>
    <row r="18" spans="1:2" x14ac:dyDescent="0.45">
      <c r="A18" t="s">
        <v>56</v>
      </c>
      <c r="B18" t="s">
        <v>21</v>
      </c>
    </row>
    <row r="19" spans="1:2" x14ac:dyDescent="0.45">
      <c r="A19" t="s">
        <v>35</v>
      </c>
      <c r="B19" s="23" t="s">
        <v>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"/>
  <sheetViews>
    <sheetView workbookViewId="0">
      <pane ySplit="1" topLeftCell="A2" activePane="bottomLeft" state="frozen"/>
      <selection pane="bottomLeft" activeCell="C1" sqref="C1"/>
    </sheetView>
  </sheetViews>
  <sheetFormatPr defaultColWidth="14" defaultRowHeight="15" customHeight="1" x14ac:dyDescent="0.45"/>
  <cols>
    <col min="1" max="1" width="6.265625" customWidth="1"/>
    <col min="2" max="2" width="4.3984375" customWidth="1"/>
    <col min="3" max="3" width="21.53125" customWidth="1"/>
    <col min="4" max="4" width="26.53125" customWidth="1"/>
    <col min="5" max="9" width="21.53125" customWidth="1"/>
  </cols>
  <sheetData>
    <row r="1" spans="1:9" ht="22.5" customHeight="1" x14ac:dyDescent="0.45">
      <c r="A1" s="19" t="s">
        <v>29</v>
      </c>
      <c r="B1" s="19" t="s">
        <v>0</v>
      </c>
      <c r="C1" s="19" t="s">
        <v>1</v>
      </c>
      <c r="D1" s="19" t="s">
        <v>2</v>
      </c>
      <c r="E1" s="20" t="s">
        <v>3</v>
      </c>
      <c r="F1" s="20" t="s">
        <v>4</v>
      </c>
      <c r="G1" s="21" t="s">
        <v>59</v>
      </c>
      <c r="H1" s="21"/>
      <c r="I1" s="21"/>
    </row>
    <row r="2" spans="1:9" ht="22.5" customHeight="1" x14ac:dyDescent="0.45">
      <c r="A2" s="6" t="s">
        <v>5</v>
      </c>
      <c r="B2" s="6" t="s">
        <v>6</v>
      </c>
      <c r="C2" s="6">
        <v>437</v>
      </c>
      <c r="D2" s="6">
        <v>426</v>
      </c>
      <c r="E2" s="7">
        <v>5.84</v>
      </c>
      <c r="F2" s="7">
        <v>2.57</v>
      </c>
      <c r="G2">
        <f>F2*10000/25</f>
        <v>1028</v>
      </c>
    </row>
    <row r="3" spans="1:9" ht="22.5" customHeight="1" x14ac:dyDescent="0.45">
      <c r="A3" s="6" t="s">
        <v>7</v>
      </c>
      <c r="B3" s="6" t="s">
        <v>6</v>
      </c>
      <c r="C3" s="6">
        <v>449</v>
      </c>
      <c r="D3" s="6">
        <v>436</v>
      </c>
      <c r="E3" s="7">
        <v>7.52</v>
      </c>
      <c r="F3" s="7">
        <v>3.9</v>
      </c>
      <c r="G3">
        <f t="shared" ref="G3:G66" si="0">F3*10000/25</f>
        <v>1560</v>
      </c>
    </row>
    <row r="4" spans="1:9" ht="22.5" customHeight="1" x14ac:dyDescent="0.45">
      <c r="A4" s="6" t="s">
        <v>8</v>
      </c>
      <c r="B4" s="6" t="s">
        <v>6</v>
      </c>
      <c r="C4" s="6">
        <v>450</v>
      </c>
      <c r="D4" s="6">
        <v>413</v>
      </c>
      <c r="E4" s="7">
        <v>5.22</v>
      </c>
      <c r="F4" s="7">
        <v>2.4</v>
      </c>
      <c r="G4">
        <f t="shared" si="0"/>
        <v>960</v>
      </c>
    </row>
    <row r="5" spans="1:9" ht="22.5" customHeight="1" x14ac:dyDescent="0.45">
      <c r="A5" s="6" t="s">
        <v>9</v>
      </c>
      <c r="B5" s="6" t="s">
        <v>6</v>
      </c>
      <c r="C5" s="6">
        <v>334</v>
      </c>
      <c r="D5" s="6">
        <v>473</v>
      </c>
      <c r="E5" s="7">
        <v>8</v>
      </c>
      <c r="F5" s="7">
        <v>4.3</v>
      </c>
      <c r="G5">
        <f t="shared" si="0"/>
        <v>1720</v>
      </c>
    </row>
    <row r="6" spans="1:9" ht="22.5" customHeight="1" x14ac:dyDescent="0.45">
      <c r="A6" s="6" t="s">
        <v>10</v>
      </c>
      <c r="B6" s="6" t="s">
        <v>6</v>
      </c>
      <c r="C6" s="6">
        <v>439</v>
      </c>
      <c r="D6" s="6">
        <v>424</v>
      </c>
      <c r="E6" s="7">
        <v>6.96</v>
      </c>
      <c r="F6" s="7">
        <v>3.52</v>
      </c>
      <c r="G6">
        <f t="shared" si="0"/>
        <v>1408</v>
      </c>
    </row>
    <row r="7" spans="1:9" ht="22.5" customHeight="1" x14ac:dyDescent="0.45">
      <c r="A7" s="6" t="s">
        <v>11</v>
      </c>
      <c r="B7" s="6" t="s">
        <v>6</v>
      </c>
      <c r="C7" s="6">
        <v>391</v>
      </c>
      <c r="D7" s="6">
        <v>417</v>
      </c>
      <c r="E7" s="7">
        <v>9.06</v>
      </c>
      <c r="F7" s="7">
        <v>3.84</v>
      </c>
      <c r="G7">
        <f t="shared" si="0"/>
        <v>1536</v>
      </c>
    </row>
    <row r="8" spans="1:9" ht="22.5" customHeight="1" x14ac:dyDescent="0.45">
      <c r="A8" s="6" t="s">
        <v>12</v>
      </c>
      <c r="B8" s="6" t="s">
        <v>6</v>
      </c>
      <c r="C8" s="6">
        <v>375</v>
      </c>
      <c r="D8" s="6">
        <v>433</v>
      </c>
      <c r="E8" s="7">
        <v>7.55</v>
      </c>
      <c r="F8" s="7">
        <v>3.73</v>
      </c>
      <c r="G8">
        <f t="shared" si="0"/>
        <v>1492</v>
      </c>
    </row>
    <row r="9" spans="1:9" ht="22.5" customHeight="1" x14ac:dyDescent="0.45">
      <c r="A9" s="6" t="s">
        <v>13</v>
      </c>
      <c r="B9" s="6" t="s">
        <v>6</v>
      </c>
      <c r="C9" s="6">
        <v>435</v>
      </c>
      <c r="D9" s="6">
        <v>428</v>
      </c>
      <c r="E9" s="7">
        <v>7.79</v>
      </c>
      <c r="F9" s="7">
        <v>3.79</v>
      </c>
      <c r="G9">
        <f>F9*10000/25</f>
        <v>1516</v>
      </c>
    </row>
    <row r="10" spans="1:9" ht="51.2" customHeight="1" x14ac:dyDescent="0.45">
      <c r="A10" s="6" t="s">
        <v>14</v>
      </c>
      <c r="B10" s="6" t="s">
        <v>6</v>
      </c>
      <c r="C10" s="6">
        <v>456</v>
      </c>
      <c r="D10" s="6">
        <v>430</v>
      </c>
      <c r="E10" s="7">
        <v>8.77</v>
      </c>
      <c r="F10" s="7">
        <v>4.1100000000000003</v>
      </c>
      <c r="G10">
        <f t="shared" si="0"/>
        <v>1644</v>
      </c>
    </row>
    <row r="11" spans="1:9" ht="22.5" customHeight="1" x14ac:dyDescent="0.45">
      <c r="A11" s="6" t="s">
        <v>15</v>
      </c>
      <c r="B11" s="6" t="s">
        <v>6</v>
      </c>
      <c r="C11" s="6">
        <v>442</v>
      </c>
      <c r="D11" s="6">
        <v>440</v>
      </c>
      <c r="E11" s="7">
        <v>4.21</v>
      </c>
      <c r="F11" s="7">
        <v>2.17</v>
      </c>
      <c r="G11">
        <f t="shared" si="0"/>
        <v>868</v>
      </c>
    </row>
    <row r="12" spans="1:9" ht="22.5" customHeight="1" x14ac:dyDescent="0.45">
      <c r="A12" s="6" t="s">
        <v>16</v>
      </c>
      <c r="B12" s="6" t="s">
        <v>6</v>
      </c>
      <c r="C12" s="6">
        <v>435</v>
      </c>
      <c r="D12" s="6">
        <v>424</v>
      </c>
      <c r="E12" s="7">
        <v>6.79</v>
      </c>
      <c r="F12" s="7">
        <v>3.74</v>
      </c>
      <c r="G12">
        <f t="shared" si="0"/>
        <v>1496</v>
      </c>
    </row>
    <row r="13" spans="1:9" ht="22.5" customHeight="1" x14ac:dyDescent="0.45">
      <c r="A13" s="6" t="s">
        <v>17</v>
      </c>
      <c r="B13" s="6" t="s">
        <v>6</v>
      </c>
      <c r="C13" s="6">
        <v>337</v>
      </c>
      <c r="D13" s="6">
        <v>334</v>
      </c>
      <c r="E13" s="7">
        <v>8.9499999999999993</v>
      </c>
      <c r="F13" s="7">
        <v>4.71</v>
      </c>
      <c r="G13">
        <f t="shared" si="0"/>
        <v>1884</v>
      </c>
    </row>
    <row r="14" spans="1:9" ht="22.5" customHeight="1" x14ac:dyDescent="0.45">
      <c r="A14" s="6" t="s">
        <v>18</v>
      </c>
      <c r="B14" s="6" t="s">
        <v>6</v>
      </c>
      <c r="C14" s="6">
        <v>427</v>
      </c>
      <c r="D14" s="6">
        <v>365</v>
      </c>
      <c r="E14" s="7">
        <v>8.91</v>
      </c>
      <c r="F14" s="7">
        <v>4.57</v>
      </c>
      <c r="G14">
        <f t="shared" si="0"/>
        <v>1828</v>
      </c>
    </row>
    <row r="15" spans="1:9" ht="22.5" customHeight="1" x14ac:dyDescent="0.45">
      <c r="A15" s="6" t="s">
        <v>19</v>
      </c>
      <c r="B15" s="6" t="s">
        <v>6</v>
      </c>
      <c r="C15" s="6">
        <v>428</v>
      </c>
      <c r="D15" s="6">
        <v>410</v>
      </c>
      <c r="E15" s="7">
        <v>7.19</v>
      </c>
      <c r="F15" s="7">
        <v>3.79</v>
      </c>
      <c r="G15">
        <f t="shared" si="0"/>
        <v>1516</v>
      </c>
    </row>
    <row r="16" spans="1:9" ht="22.5" customHeight="1" x14ac:dyDescent="0.45">
      <c r="A16" s="6" t="s">
        <v>20</v>
      </c>
      <c r="B16" s="6" t="s">
        <v>6</v>
      </c>
      <c r="C16" s="6">
        <v>463</v>
      </c>
      <c r="D16" s="6">
        <v>407</v>
      </c>
      <c r="E16" s="7">
        <v>8.7200000000000006</v>
      </c>
      <c r="F16" s="7">
        <v>4.84</v>
      </c>
      <c r="G16">
        <f t="shared" si="0"/>
        <v>1936</v>
      </c>
    </row>
    <row r="17" spans="1:7" ht="22.5" customHeight="1" x14ac:dyDescent="0.45">
      <c r="A17" s="6" t="s">
        <v>21</v>
      </c>
      <c r="B17" s="6" t="s">
        <v>6</v>
      </c>
      <c r="C17" s="6">
        <v>425</v>
      </c>
      <c r="D17" s="6">
        <v>399</v>
      </c>
      <c r="E17" s="7">
        <v>4.75</v>
      </c>
      <c r="F17" s="7">
        <v>2.52</v>
      </c>
      <c r="G17">
        <f t="shared" si="0"/>
        <v>1008</v>
      </c>
    </row>
    <row r="18" spans="1:7" ht="22.5" customHeight="1" x14ac:dyDescent="0.45">
      <c r="A18" s="6" t="s">
        <v>22</v>
      </c>
      <c r="B18" s="6" t="s">
        <v>6</v>
      </c>
      <c r="C18" s="6">
        <v>362</v>
      </c>
      <c r="D18" s="6">
        <v>360</v>
      </c>
      <c r="E18" s="7">
        <v>5.8</v>
      </c>
      <c r="F18" s="7">
        <v>2.58</v>
      </c>
      <c r="G18">
        <f t="shared" si="0"/>
        <v>1032</v>
      </c>
    </row>
    <row r="19" spans="1:7" ht="22.5" customHeight="1" x14ac:dyDescent="0.45">
      <c r="A19" s="6" t="s">
        <v>23</v>
      </c>
      <c r="B19" s="6" t="s">
        <v>6</v>
      </c>
      <c r="C19" s="6">
        <v>335</v>
      </c>
      <c r="D19" s="6">
        <v>336</v>
      </c>
      <c r="E19" s="7">
        <v>6.52</v>
      </c>
      <c r="F19" s="7">
        <v>3.75</v>
      </c>
      <c r="G19">
        <f t="shared" si="0"/>
        <v>1500</v>
      </c>
    </row>
    <row r="20" spans="1:7" ht="22.5" customHeight="1" x14ac:dyDescent="0.45">
      <c r="A20" s="6" t="s">
        <v>5</v>
      </c>
      <c r="B20" s="6" t="s">
        <v>24</v>
      </c>
      <c r="C20" s="6">
        <v>399</v>
      </c>
      <c r="D20" s="6">
        <v>390</v>
      </c>
      <c r="E20" s="7">
        <v>3.91</v>
      </c>
      <c r="F20" s="7">
        <v>1.65</v>
      </c>
      <c r="G20">
        <f t="shared" si="0"/>
        <v>660</v>
      </c>
    </row>
    <row r="21" spans="1:7" ht="22.5" customHeight="1" x14ac:dyDescent="0.45">
      <c r="A21" s="6" t="s">
        <v>7</v>
      </c>
      <c r="B21" s="6" t="s">
        <v>24</v>
      </c>
      <c r="C21" s="6">
        <v>438</v>
      </c>
      <c r="D21" s="6">
        <v>413</v>
      </c>
      <c r="E21" s="7">
        <v>4.3899999999999997</v>
      </c>
      <c r="F21" s="7">
        <v>2.2999999999999998</v>
      </c>
      <c r="G21">
        <f t="shared" si="0"/>
        <v>920</v>
      </c>
    </row>
    <row r="22" spans="1:7" ht="22.5" customHeight="1" x14ac:dyDescent="0.45">
      <c r="A22" s="6" t="s">
        <v>8</v>
      </c>
      <c r="B22" s="6" t="s">
        <v>24</v>
      </c>
      <c r="C22" s="6">
        <v>403</v>
      </c>
      <c r="D22" s="6">
        <v>402</v>
      </c>
      <c r="E22" s="7">
        <v>7</v>
      </c>
      <c r="F22" s="7">
        <v>3.46</v>
      </c>
      <c r="G22">
        <f t="shared" si="0"/>
        <v>1384</v>
      </c>
    </row>
    <row r="23" spans="1:7" ht="22.5" customHeight="1" x14ac:dyDescent="0.45">
      <c r="A23" s="6" t="s">
        <v>9</v>
      </c>
      <c r="B23" s="6" t="s">
        <v>24</v>
      </c>
      <c r="C23" s="6">
        <v>429</v>
      </c>
      <c r="D23" s="6">
        <v>420</v>
      </c>
      <c r="E23" s="7">
        <v>7.93</v>
      </c>
      <c r="F23" s="7">
        <v>3.88</v>
      </c>
      <c r="G23">
        <f t="shared" si="0"/>
        <v>1552</v>
      </c>
    </row>
    <row r="24" spans="1:7" ht="22.5" customHeight="1" x14ac:dyDescent="0.45">
      <c r="A24" s="6" t="s">
        <v>10</v>
      </c>
      <c r="B24" s="6" t="s">
        <v>24</v>
      </c>
      <c r="C24" s="6">
        <v>455</v>
      </c>
      <c r="D24" s="6">
        <v>425</v>
      </c>
      <c r="E24" s="7">
        <v>9.41</v>
      </c>
      <c r="F24" s="7">
        <v>4.88</v>
      </c>
      <c r="G24">
        <f t="shared" si="0"/>
        <v>1952</v>
      </c>
    </row>
    <row r="25" spans="1:7" ht="22.5" customHeight="1" x14ac:dyDescent="0.45">
      <c r="A25" s="6" t="s">
        <v>11</v>
      </c>
      <c r="B25" s="6" t="s">
        <v>24</v>
      </c>
      <c r="C25" s="6">
        <v>450</v>
      </c>
      <c r="D25" s="6">
        <v>412</v>
      </c>
      <c r="E25" s="7">
        <v>10.11</v>
      </c>
      <c r="F25" s="7">
        <v>4.0999999999999996</v>
      </c>
      <c r="G25">
        <f t="shared" si="0"/>
        <v>1640</v>
      </c>
    </row>
    <row r="26" spans="1:7" ht="22.5" customHeight="1" x14ac:dyDescent="0.45">
      <c r="A26" s="6" t="s">
        <v>12</v>
      </c>
      <c r="B26" s="6" t="s">
        <v>24</v>
      </c>
      <c r="C26" s="6">
        <v>459</v>
      </c>
      <c r="D26" s="6">
        <v>427</v>
      </c>
      <c r="E26" s="7">
        <v>6.68</v>
      </c>
      <c r="F26" s="7">
        <v>3.4</v>
      </c>
      <c r="G26">
        <f t="shared" si="0"/>
        <v>1360</v>
      </c>
    </row>
    <row r="27" spans="1:7" ht="22.5" customHeight="1" x14ac:dyDescent="0.45">
      <c r="A27" s="6" t="s">
        <v>13</v>
      </c>
      <c r="B27" s="6" t="s">
        <v>24</v>
      </c>
      <c r="C27" s="6">
        <v>452</v>
      </c>
      <c r="D27" s="6">
        <v>440</v>
      </c>
      <c r="E27" s="7">
        <v>7.12</v>
      </c>
      <c r="F27" s="7">
        <v>3.5</v>
      </c>
      <c r="G27">
        <f t="shared" si="0"/>
        <v>1400</v>
      </c>
    </row>
    <row r="28" spans="1:7" ht="22.5" customHeight="1" x14ac:dyDescent="0.45">
      <c r="A28" s="6" t="s">
        <v>14</v>
      </c>
      <c r="B28" s="6" t="s">
        <v>24</v>
      </c>
      <c r="C28" s="6">
        <v>427</v>
      </c>
      <c r="D28" s="6">
        <v>403</v>
      </c>
      <c r="E28" s="7">
        <v>7.68</v>
      </c>
      <c r="F28" s="7">
        <v>3.9</v>
      </c>
      <c r="G28">
        <f t="shared" si="0"/>
        <v>1560</v>
      </c>
    </row>
    <row r="29" spans="1:7" ht="22.5" customHeight="1" x14ac:dyDescent="0.45">
      <c r="A29" s="6" t="s">
        <v>15</v>
      </c>
      <c r="B29" s="6" t="s">
        <v>24</v>
      </c>
      <c r="C29" s="6">
        <v>410</v>
      </c>
      <c r="D29" s="6">
        <v>405</v>
      </c>
      <c r="E29" s="7">
        <v>5.22</v>
      </c>
      <c r="F29" s="7">
        <v>2.7</v>
      </c>
      <c r="G29">
        <f t="shared" si="0"/>
        <v>1080</v>
      </c>
    </row>
    <row r="30" spans="1:7" ht="22.5" customHeight="1" x14ac:dyDescent="0.45">
      <c r="A30" s="6" t="s">
        <v>16</v>
      </c>
      <c r="B30" s="6" t="s">
        <v>24</v>
      </c>
      <c r="C30" s="6">
        <v>443</v>
      </c>
      <c r="D30" s="6">
        <v>440</v>
      </c>
      <c r="E30" s="7">
        <v>8.14</v>
      </c>
      <c r="F30" s="7">
        <v>4.62</v>
      </c>
      <c r="G30">
        <f t="shared" si="0"/>
        <v>1848</v>
      </c>
    </row>
    <row r="31" spans="1:7" ht="22.5" customHeight="1" x14ac:dyDescent="0.45">
      <c r="A31" s="6" t="s">
        <v>17</v>
      </c>
      <c r="B31" s="6" t="s">
        <v>24</v>
      </c>
      <c r="C31" s="6">
        <v>436</v>
      </c>
      <c r="D31" s="6">
        <v>436</v>
      </c>
      <c r="E31" s="7">
        <v>8.44</v>
      </c>
      <c r="F31" s="7">
        <v>4.96</v>
      </c>
      <c r="G31">
        <f t="shared" si="0"/>
        <v>1984</v>
      </c>
    </row>
    <row r="32" spans="1:7" ht="22.5" customHeight="1" x14ac:dyDescent="0.45">
      <c r="A32" s="6" t="s">
        <v>18</v>
      </c>
      <c r="B32" s="6" t="s">
        <v>24</v>
      </c>
      <c r="C32" s="6">
        <v>446</v>
      </c>
      <c r="D32" s="6">
        <v>444</v>
      </c>
      <c r="E32" s="7">
        <v>10.84</v>
      </c>
      <c r="F32" s="7">
        <v>5.18</v>
      </c>
      <c r="G32">
        <f t="shared" si="0"/>
        <v>2072</v>
      </c>
    </row>
    <row r="33" spans="1:7" ht="22.5" customHeight="1" x14ac:dyDescent="0.45">
      <c r="A33" s="6" t="s">
        <v>19</v>
      </c>
      <c r="B33" s="6" t="s">
        <v>24</v>
      </c>
      <c r="C33" s="6">
        <v>398</v>
      </c>
      <c r="D33" s="6">
        <v>345</v>
      </c>
      <c r="E33" s="7">
        <v>7.91</v>
      </c>
      <c r="F33" s="7">
        <v>4.2</v>
      </c>
      <c r="G33">
        <f t="shared" si="0"/>
        <v>1680</v>
      </c>
    </row>
    <row r="34" spans="1:7" ht="22.5" customHeight="1" x14ac:dyDescent="0.45">
      <c r="A34" s="6" t="s">
        <v>20</v>
      </c>
      <c r="B34" s="6" t="s">
        <v>24</v>
      </c>
      <c r="C34" s="6">
        <v>430</v>
      </c>
      <c r="D34" s="6">
        <v>425</v>
      </c>
      <c r="E34" s="7">
        <v>10.64</v>
      </c>
      <c r="F34" s="7">
        <v>5.5</v>
      </c>
      <c r="G34">
        <f t="shared" si="0"/>
        <v>2200</v>
      </c>
    </row>
    <row r="35" spans="1:7" ht="22.5" customHeight="1" x14ac:dyDescent="0.45">
      <c r="A35" s="6" t="s">
        <v>21</v>
      </c>
      <c r="B35" s="6" t="s">
        <v>24</v>
      </c>
      <c r="C35" s="6">
        <v>400</v>
      </c>
      <c r="D35" s="6">
        <v>361</v>
      </c>
      <c r="E35" s="7">
        <v>4.55</v>
      </c>
      <c r="F35" s="7">
        <v>2.88</v>
      </c>
      <c r="G35">
        <f t="shared" si="0"/>
        <v>1152</v>
      </c>
    </row>
    <row r="36" spans="1:7" ht="22.5" customHeight="1" x14ac:dyDescent="0.45">
      <c r="A36" s="6" t="s">
        <v>22</v>
      </c>
      <c r="B36" s="6" t="s">
        <v>24</v>
      </c>
      <c r="C36" s="6">
        <v>395</v>
      </c>
      <c r="D36" s="6">
        <v>354</v>
      </c>
      <c r="E36" s="7">
        <v>5.05</v>
      </c>
      <c r="F36" s="7">
        <v>2.82</v>
      </c>
      <c r="G36">
        <f t="shared" si="0"/>
        <v>1128</v>
      </c>
    </row>
    <row r="37" spans="1:7" ht="22.5" customHeight="1" x14ac:dyDescent="0.45">
      <c r="A37" s="6" t="s">
        <v>23</v>
      </c>
      <c r="B37" s="6" t="s">
        <v>24</v>
      </c>
      <c r="C37" s="6">
        <v>467</v>
      </c>
      <c r="D37" s="6">
        <v>418</v>
      </c>
      <c r="E37" s="7">
        <v>6.45</v>
      </c>
      <c r="F37" s="7">
        <v>3.32</v>
      </c>
      <c r="G37">
        <f t="shared" si="0"/>
        <v>1328</v>
      </c>
    </row>
    <row r="38" spans="1:7" ht="22.5" customHeight="1" x14ac:dyDescent="0.45">
      <c r="A38" s="6" t="s">
        <v>5</v>
      </c>
      <c r="B38" s="6" t="s">
        <v>25</v>
      </c>
      <c r="C38" s="6">
        <v>425</v>
      </c>
      <c r="D38" s="6">
        <v>410</v>
      </c>
      <c r="E38" s="7">
        <v>3.51</v>
      </c>
      <c r="F38" s="7">
        <v>1.4</v>
      </c>
      <c r="G38">
        <f t="shared" si="0"/>
        <v>560</v>
      </c>
    </row>
    <row r="39" spans="1:7" ht="22.5" customHeight="1" x14ac:dyDescent="0.45">
      <c r="A39" s="6" t="s">
        <v>7</v>
      </c>
      <c r="B39" s="6" t="s">
        <v>25</v>
      </c>
      <c r="C39" s="6">
        <v>397</v>
      </c>
      <c r="D39" s="6">
        <v>395</v>
      </c>
      <c r="E39" s="7">
        <v>5.78</v>
      </c>
      <c r="F39" s="7">
        <v>3.04</v>
      </c>
      <c r="G39">
        <f t="shared" si="0"/>
        <v>1216</v>
      </c>
    </row>
    <row r="40" spans="1:7" ht="22.5" customHeight="1" x14ac:dyDescent="0.45">
      <c r="A40" s="6" t="s">
        <v>8</v>
      </c>
      <c r="B40" s="6" t="s">
        <v>25</v>
      </c>
      <c r="C40" s="6">
        <v>423</v>
      </c>
      <c r="D40" s="6">
        <v>416</v>
      </c>
      <c r="E40" s="7">
        <v>5.98</v>
      </c>
      <c r="F40" s="7">
        <v>3.06</v>
      </c>
      <c r="G40">
        <f t="shared" si="0"/>
        <v>1224</v>
      </c>
    </row>
    <row r="41" spans="1:7" ht="22.5" customHeight="1" x14ac:dyDescent="0.45">
      <c r="A41" s="6" t="s">
        <v>9</v>
      </c>
      <c r="B41" s="6" t="s">
        <v>25</v>
      </c>
      <c r="C41" s="6">
        <v>446</v>
      </c>
      <c r="D41" s="6">
        <v>403</v>
      </c>
      <c r="E41" s="7">
        <v>7.25</v>
      </c>
      <c r="F41" s="7">
        <v>4.0999999999999996</v>
      </c>
      <c r="G41">
        <f t="shared" si="0"/>
        <v>1640</v>
      </c>
    </row>
    <row r="42" spans="1:7" ht="22.5" customHeight="1" x14ac:dyDescent="0.45">
      <c r="A42" s="6" t="s">
        <v>10</v>
      </c>
      <c r="B42" s="6" t="s">
        <v>25</v>
      </c>
      <c r="C42" s="6">
        <v>457</v>
      </c>
      <c r="D42" s="6">
        <v>449</v>
      </c>
      <c r="E42" s="7">
        <v>7.08</v>
      </c>
      <c r="F42" s="7">
        <v>3.77</v>
      </c>
      <c r="G42">
        <f t="shared" si="0"/>
        <v>1508</v>
      </c>
    </row>
    <row r="43" spans="1:7" ht="22.5" customHeight="1" x14ac:dyDescent="0.45">
      <c r="A43" s="6" t="s">
        <v>11</v>
      </c>
      <c r="B43" s="6" t="s">
        <v>25</v>
      </c>
      <c r="C43" s="6">
        <v>420</v>
      </c>
      <c r="D43" s="6">
        <v>407</v>
      </c>
      <c r="E43" s="7">
        <v>8.7200000000000006</v>
      </c>
      <c r="F43" s="7">
        <v>3.66</v>
      </c>
      <c r="G43">
        <f t="shared" si="0"/>
        <v>1464</v>
      </c>
    </row>
    <row r="44" spans="1:7" ht="22.5" customHeight="1" x14ac:dyDescent="0.45">
      <c r="A44" s="6" t="s">
        <v>12</v>
      </c>
      <c r="B44" s="6" t="s">
        <v>25</v>
      </c>
      <c r="C44" s="6">
        <v>490</v>
      </c>
      <c r="D44" s="6">
        <v>403</v>
      </c>
      <c r="E44" s="7">
        <v>5.7</v>
      </c>
      <c r="F44" s="7">
        <v>2.8</v>
      </c>
      <c r="G44">
        <f t="shared" si="0"/>
        <v>1120</v>
      </c>
    </row>
    <row r="45" spans="1:7" ht="22.5" customHeight="1" x14ac:dyDescent="0.45">
      <c r="A45" s="6" t="s">
        <v>13</v>
      </c>
      <c r="B45" s="6" t="s">
        <v>25</v>
      </c>
      <c r="C45" s="6">
        <v>463</v>
      </c>
      <c r="D45" s="6">
        <v>426</v>
      </c>
      <c r="E45" s="7">
        <v>8.41</v>
      </c>
      <c r="F45" s="7">
        <v>4.5</v>
      </c>
      <c r="G45">
        <f t="shared" si="0"/>
        <v>1800</v>
      </c>
    </row>
    <row r="46" spans="1:7" ht="22.5" customHeight="1" x14ac:dyDescent="0.45">
      <c r="A46" s="6" t="s">
        <v>14</v>
      </c>
      <c r="B46" s="6" t="s">
        <v>25</v>
      </c>
      <c r="C46" s="6">
        <v>433</v>
      </c>
      <c r="D46" s="6">
        <v>403</v>
      </c>
      <c r="E46" s="7">
        <v>7.34</v>
      </c>
      <c r="F46" s="7">
        <v>3.84</v>
      </c>
      <c r="G46">
        <f t="shared" si="0"/>
        <v>1536</v>
      </c>
    </row>
    <row r="47" spans="1:7" ht="22.5" customHeight="1" x14ac:dyDescent="0.45">
      <c r="A47" s="6" t="s">
        <v>15</v>
      </c>
      <c r="B47" s="6" t="s">
        <v>25</v>
      </c>
      <c r="C47" s="6">
        <v>442</v>
      </c>
      <c r="D47" s="6">
        <v>429</v>
      </c>
      <c r="E47" s="7">
        <v>5.31</v>
      </c>
      <c r="F47" s="7">
        <v>3.2</v>
      </c>
      <c r="G47">
        <f t="shared" si="0"/>
        <v>1280</v>
      </c>
    </row>
    <row r="48" spans="1:7" ht="22.5" customHeight="1" x14ac:dyDescent="0.45">
      <c r="A48" s="6" t="s">
        <v>16</v>
      </c>
      <c r="B48" s="6" t="s">
        <v>25</v>
      </c>
      <c r="C48" s="6">
        <v>370</v>
      </c>
      <c r="D48" s="6">
        <v>365</v>
      </c>
      <c r="E48" s="7">
        <v>8.98</v>
      </c>
      <c r="F48" s="7">
        <v>4.3</v>
      </c>
      <c r="G48">
        <f t="shared" si="0"/>
        <v>1720</v>
      </c>
    </row>
    <row r="49" spans="1:7" ht="22.5" customHeight="1" x14ac:dyDescent="0.45">
      <c r="A49" s="6" t="s">
        <v>17</v>
      </c>
      <c r="B49" s="6" t="s">
        <v>25</v>
      </c>
      <c r="C49" s="6">
        <v>474</v>
      </c>
      <c r="D49" s="6">
        <v>430</v>
      </c>
      <c r="E49" s="7">
        <v>9.7899999999999991</v>
      </c>
      <c r="F49" s="7">
        <v>4.8</v>
      </c>
      <c r="G49">
        <f t="shared" si="0"/>
        <v>1920</v>
      </c>
    </row>
    <row r="50" spans="1:7" ht="22.5" customHeight="1" x14ac:dyDescent="0.45">
      <c r="A50" s="6" t="s">
        <v>18</v>
      </c>
      <c r="B50" s="6" t="s">
        <v>25</v>
      </c>
      <c r="C50" s="6">
        <v>447</v>
      </c>
      <c r="D50" s="6">
        <v>401</v>
      </c>
      <c r="E50" s="7">
        <v>10.99</v>
      </c>
      <c r="F50" s="7">
        <v>5.77</v>
      </c>
      <c r="G50">
        <f t="shared" si="0"/>
        <v>2307.9999999999995</v>
      </c>
    </row>
    <row r="51" spans="1:7" ht="22.5" customHeight="1" x14ac:dyDescent="0.45">
      <c r="A51" s="6" t="s">
        <v>19</v>
      </c>
      <c r="B51" s="6" t="s">
        <v>25</v>
      </c>
      <c r="C51" s="6">
        <v>422</v>
      </c>
      <c r="D51" s="6">
        <v>417</v>
      </c>
      <c r="E51" s="7">
        <v>10.199999999999999</v>
      </c>
      <c r="F51" s="7">
        <v>4.88</v>
      </c>
      <c r="G51">
        <f t="shared" si="0"/>
        <v>1952</v>
      </c>
    </row>
    <row r="52" spans="1:7" ht="22.5" customHeight="1" x14ac:dyDescent="0.45">
      <c r="A52" s="6" t="s">
        <v>20</v>
      </c>
      <c r="B52" s="6" t="s">
        <v>25</v>
      </c>
      <c r="C52" s="6">
        <v>369</v>
      </c>
      <c r="D52" s="6">
        <v>364</v>
      </c>
      <c r="E52" s="7">
        <v>8.9700000000000006</v>
      </c>
      <c r="F52" s="7">
        <v>4.5199999999999996</v>
      </c>
      <c r="G52">
        <f t="shared" si="0"/>
        <v>1807.9999999999998</v>
      </c>
    </row>
    <row r="53" spans="1:7" ht="22.5" customHeight="1" x14ac:dyDescent="0.45">
      <c r="A53" s="6" t="s">
        <v>21</v>
      </c>
      <c r="B53" s="6" t="s">
        <v>25</v>
      </c>
      <c r="C53" s="6">
        <v>458</v>
      </c>
      <c r="D53" s="6">
        <v>440</v>
      </c>
      <c r="E53" s="7">
        <v>6.13</v>
      </c>
      <c r="F53" s="7">
        <v>3.33</v>
      </c>
      <c r="G53">
        <f t="shared" si="0"/>
        <v>1332</v>
      </c>
    </row>
    <row r="54" spans="1:7" ht="22.5" customHeight="1" x14ac:dyDescent="0.45">
      <c r="A54" s="6" t="s">
        <v>22</v>
      </c>
      <c r="B54" s="6" t="s">
        <v>25</v>
      </c>
      <c r="C54" s="6">
        <v>484</v>
      </c>
      <c r="D54" s="6">
        <v>431</v>
      </c>
      <c r="E54" s="7">
        <v>4.66</v>
      </c>
      <c r="F54" s="7">
        <v>2.62</v>
      </c>
      <c r="G54">
        <f t="shared" si="0"/>
        <v>1048</v>
      </c>
    </row>
    <row r="55" spans="1:7" ht="22.5" customHeight="1" x14ac:dyDescent="0.45">
      <c r="A55" s="6" t="s">
        <v>23</v>
      </c>
      <c r="B55" s="6" t="s">
        <v>25</v>
      </c>
      <c r="C55" s="6">
        <v>447</v>
      </c>
      <c r="D55" s="6">
        <v>437</v>
      </c>
      <c r="E55" s="7">
        <v>5.42</v>
      </c>
      <c r="F55" s="7">
        <v>2.88</v>
      </c>
      <c r="G55">
        <f t="shared" si="0"/>
        <v>1152</v>
      </c>
    </row>
    <row r="56" spans="1:7" ht="22.5" customHeight="1" x14ac:dyDescent="0.45">
      <c r="A56" s="6" t="s">
        <v>5</v>
      </c>
      <c r="B56" s="6" t="s">
        <v>26</v>
      </c>
      <c r="C56" s="6">
        <v>340</v>
      </c>
      <c r="D56" s="6">
        <v>336</v>
      </c>
      <c r="E56" s="7">
        <v>6.57</v>
      </c>
      <c r="F56" s="7">
        <v>3.33</v>
      </c>
      <c r="G56">
        <f t="shared" si="0"/>
        <v>1332</v>
      </c>
    </row>
    <row r="57" spans="1:7" ht="22.5" customHeight="1" x14ac:dyDescent="0.45">
      <c r="A57" s="6" t="s">
        <v>7</v>
      </c>
      <c r="B57" s="6" t="s">
        <v>26</v>
      </c>
      <c r="C57" s="6">
        <v>417</v>
      </c>
      <c r="D57" s="6">
        <v>412</v>
      </c>
      <c r="E57" s="7">
        <v>6.94</v>
      </c>
      <c r="F57" s="7">
        <v>3.8</v>
      </c>
      <c r="G57">
        <f t="shared" si="0"/>
        <v>1520</v>
      </c>
    </row>
    <row r="58" spans="1:7" ht="22.5" customHeight="1" x14ac:dyDescent="0.45">
      <c r="A58" s="6" t="s">
        <v>8</v>
      </c>
      <c r="B58" s="6" t="s">
        <v>26</v>
      </c>
      <c r="C58" s="6">
        <v>302</v>
      </c>
      <c r="D58" s="6">
        <v>229</v>
      </c>
      <c r="E58" s="7">
        <v>6.28</v>
      </c>
      <c r="F58" s="7">
        <v>3.28</v>
      </c>
      <c r="G58">
        <f t="shared" si="0"/>
        <v>1312</v>
      </c>
    </row>
    <row r="59" spans="1:7" ht="22.5" customHeight="1" x14ac:dyDescent="0.45">
      <c r="A59" s="6" t="s">
        <v>9</v>
      </c>
      <c r="B59" s="6" t="s">
        <v>26</v>
      </c>
      <c r="C59" s="6">
        <v>398</v>
      </c>
      <c r="D59" s="6">
        <v>316</v>
      </c>
      <c r="E59" s="7">
        <v>7.92</v>
      </c>
      <c r="F59" s="7">
        <v>4.76</v>
      </c>
      <c r="G59">
        <f t="shared" si="0"/>
        <v>1904</v>
      </c>
    </row>
    <row r="60" spans="1:7" ht="22.5" customHeight="1" x14ac:dyDescent="0.45">
      <c r="A60" s="6" t="s">
        <v>10</v>
      </c>
      <c r="B60" s="6" t="s">
        <v>26</v>
      </c>
      <c r="C60" s="6">
        <v>370</v>
      </c>
      <c r="D60" s="6">
        <v>367</v>
      </c>
      <c r="E60" s="7">
        <v>6.48</v>
      </c>
      <c r="F60" s="7">
        <v>3.5</v>
      </c>
      <c r="G60">
        <f t="shared" si="0"/>
        <v>1400</v>
      </c>
    </row>
    <row r="61" spans="1:7" ht="22.5" customHeight="1" x14ac:dyDescent="0.45">
      <c r="A61" s="6" t="s">
        <v>11</v>
      </c>
      <c r="B61" s="6" t="s">
        <v>26</v>
      </c>
      <c r="C61" s="6">
        <v>332</v>
      </c>
      <c r="D61" s="6">
        <v>332</v>
      </c>
      <c r="E61" s="7">
        <v>7.5</v>
      </c>
      <c r="F61" s="7">
        <v>3.15</v>
      </c>
      <c r="G61">
        <f t="shared" si="0"/>
        <v>1260</v>
      </c>
    </row>
    <row r="62" spans="1:7" ht="22.5" customHeight="1" x14ac:dyDescent="0.45">
      <c r="A62" s="6" t="s">
        <v>12</v>
      </c>
      <c r="B62" s="6" t="s">
        <v>26</v>
      </c>
      <c r="C62" s="6">
        <v>465</v>
      </c>
      <c r="D62" s="6">
        <v>363</v>
      </c>
      <c r="E62" s="7">
        <v>5.64</v>
      </c>
      <c r="F62" s="7">
        <v>3.16</v>
      </c>
      <c r="G62">
        <f t="shared" si="0"/>
        <v>1264</v>
      </c>
    </row>
    <row r="63" spans="1:7" ht="22.5" customHeight="1" x14ac:dyDescent="0.45">
      <c r="A63" s="6" t="s">
        <v>13</v>
      </c>
      <c r="B63" s="6" t="s">
        <v>26</v>
      </c>
      <c r="C63" s="6">
        <v>362</v>
      </c>
      <c r="D63" s="6">
        <v>331</v>
      </c>
      <c r="E63" s="7">
        <v>6.78</v>
      </c>
      <c r="F63" s="7">
        <v>3.62</v>
      </c>
      <c r="G63">
        <f t="shared" si="0"/>
        <v>1448</v>
      </c>
    </row>
    <row r="64" spans="1:7" ht="22.5" customHeight="1" x14ac:dyDescent="0.45">
      <c r="A64" s="6" t="s">
        <v>14</v>
      </c>
      <c r="B64" s="6" t="s">
        <v>26</v>
      </c>
      <c r="C64" s="6">
        <v>337</v>
      </c>
      <c r="D64" s="6">
        <v>334</v>
      </c>
      <c r="E64" s="7">
        <v>7.94</v>
      </c>
      <c r="F64" s="7">
        <v>4</v>
      </c>
      <c r="G64">
        <f t="shared" si="0"/>
        <v>1600</v>
      </c>
    </row>
    <row r="65" spans="1:7" ht="22.5" customHeight="1" x14ac:dyDescent="0.45">
      <c r="A65" s="6" t="s">
        <v>15</v>
      </c>
      <c r="B65" s="6" t="s">
        <v>26</v>
      </c>
      <c r="C65" s="6">
        <v>452</v>
      </c>
      <c r="D65" s="6">
        <v>448</v>
      </c>
      <c r="E65" s="7">
        <v>6.27</v>
      </c>
      <c r="F65" s="7">
        <v>3.49</v>
      </c>
      <c r="G65">
        <f t="shared" si="0"/>
        <v>1396</v>
      </c>
    </row>
    <row r="66" spans="1:7" ht="22.5" customHeight="1" x14ac:dyDescent="0.45">
      <c r="A66" s="6" t="s">
        <v>16</v>
      </c>
      <c r="B66" s="6" t="s">
        <v>26</v>
      </c>
      <c r="C66" s="6">
        <v>390</v>
      </c>
      <c r="D66" s="6">
        <v>390</v>
      </c>
      <c r="E66" s="7">
        <v>8.4</v>
      </c>
      <c r="F66" s="7">
        <v>4.0999999999999996</v>
      </c>
      <c r="G66">
        <f t="shared" si="0"/>
        <v>1640</v>
      </c>
    </row>
    <row r="67" spans="1:7" ht="22.5" customHeight="1" x14ac:dyDescent="0.45">
      <c r="A67" s="6" t="s">
        <v>17</v>
      </c>
      <c r="B67" s="6" t="s">
        <v>26</v>
      </c>
      <c r="C67" s="6">
        <v>448</v>
      </c>
      <c r="D67" s="6">
        <v>440</v>
      </c>
      <c r="E67" s="7">
        <v>10.51</v>
      </c>
      <c r="F67" s="7">
        <v>5.66</v>
      </c>
      <c r="G67">
        <f t="shared" ref="G67:G109" si="1">F67*10000/25</f>
        <v>2264</v>
      </c>
    </row>
    <row r="68" spans="1:7" ht="22.5" customHeight="1" x14ac:dyDescent="0.45">
      <c r="A68" s="6" t="s">
        <v>18</v>
      </c>
      <c r="B68" s="6" t="s">
        <v>26</v>
      </c>
      <c r="C68" s="6">
        <v>365</v>
      </c>
      <c r="D68" s="6">
        <v>362</v>
      </c>
      <c r="E68" s="7">
        <v>7.7</v>
      </c>
      <c r="F68" s="7">
        <v>4.12</v>
      </c>
      <c r="G68">
        <f t="shared" si="1"/>
        <v>1648</v>
      </c>
    </row>
    <row r="69" spans="1:7" ht="22.5" customHeight="1" x14ac:dyDescent="0.45">
      <c r="A69" s="6" t="s">
        <v>19</v>
      </c>
      <c r="B69" s="6" t="s">
        <v>26</v>
      </c>
      <c r="C69" s="6">
        <v>452</v>
      </c>
      <c r="D69" s="6">
        <v>407</v>
      </c>
      <c r="E69" s="7">
        <v>6.2</v>
      </c>
      <c r="F69" s="7">
        <v>3.39</v>
      </c>
      <c r="G69">
        <f t="shared" si="1"/>
        <v>1356</v>
      </c>
    </row>
    <row r="70" spans="1:7" ht="22.5" customHeight="1" x14ac:dyDescent="0.45">
      <c r="A70" s="6" t="s">
        <v>20</v>
      </c>
      <c r="B70" s="6" t="s">
        <v>26</v>
      </c>
      <c r="C70" s="6">
        <v>412</v>
      </c>
      <c r="D70" s="6">
        <v>406</v>
      </c>
      <c r="E70" s="7">
        <v>8.57</v>
      </c>
      <c r="F70" s="7">
        <v>4.6500000000000004</v>
      </c>
      <c r="G70">
        <f t="shared" si="1"/>
        <v>1860</v>
      </c>
    </row>
    <row r="71" spans="1:7" ht="22.5" customHeight="1" x14ac:dyDescent="0.45">
      <c r="A71" s="6" t="s">
        <v>21</v>
      </c>
      <c r="B71" s="6" t="s">
        <v>26</v>
      </c>
      <c r="C71" s="6">
        <v>425</v>
      </c>
      <c r="D71" s="6">
        <v>410</v>
      </c>
      <c r="E71" s="7">
        <v>5.64</v>
      </c>
      <c r="F71" s="7">
        <v>2.0299999999999998</v>
      </c>
      <c r="G71">
        <f t="shared" si="1"/>
        <v>811.99999999999989</v>
      </c>
    </row>
    <row r="72" spans="1:7" ht="22.5" customHeight="1" x14ac:dyDescent="0.45">
      <c r="A72" s="6" t="s">
        <v>22</v>
      </c>
      <c r="B72" s="6" t="s">
        <v>26</v>
      </c>
      <c r="C72" s="6">
        <v>399</v>
      </c>
      <c r="D72" s="6">
        <v>382</v>
      </c>
      <c r="E72" s="7">
        <v>6.26</v>
      </c>
      <c r="F72" s="7">
        <v>3.36</v>
      </c>
      <c r="G72">
        <f t="shared" si="1"/>
        <v>1344</v>
      </c>
    </row>
    <row r="73" spans="1:7" ht="22.5" customHeight="1" x14ac:dyDescent="0.45">
      <c r="A73" s="6" t="s">
        <v>23</v>
      </c>
      <c r="B73" s="6" t="s">
        <v>26</v>
      </c>
      <c r="C73" s="6">
        <v>438</v>
      </c>
      <c r="D73" s="6">
        <v>375</v>
      </c>
      <c r="E73" s="7">
        <v>6.38</v>
      </c>
      <c r="F73" s="7">
        <v>3.44</v>
      </c>
      <c r="G73">
        <f t="shared" si="1"/>
        <v>1376</v>
      </c>
    </row>
    <row r="74" spans="1:7" ht="22.5" customHeight="1" x14ac:dyDescent="0.45">
      <c r="A74" s="6" t="s">
        <v>5</v>
      </c>
      <c r="B74" s="6" t="s">
        <v>27</v>
      </c>
      <c r="C74" s="6">
        <v>261</v>
      </c>
      <c r="D74" s="6">
        <v>260</v>
      </c>
      <c r="E74" s="7">
        <v>2.75</v>
      </c>
      <c r="F74" s="7">
        <v>1.93</v>
      </c>
      <c r="G74">
        <f t="shared" si="1"/>
        <v>772</v>
      </c>
    </row>
    <row r="75" spans="1:7" ht="22.5" customHeight="1" x14ac:dyDescent="0.45">
      <c r="A75" s="6" t="s">
        <v>7</v>
      </c>
      <c r="B75" s="6" t="s">
        <v>27</v>
      </c>
      <c r="C75" s="6">
        <v>416</v>
      </c>
      <c r="D75" s="6">
        <v>385</v>
      </c>
      <c r="E75" s="7">
        <v>4.3</v>
      </c>
      <c r="F75" s="7">
        <v>2.2400000000000002</v>
      </c>
      <c r="G75">
        <f t="shared" si="1"/>
        <v>896.00000000000011</v>
      </c>
    </row>
    <row r="76" spans="1:7" ht="22.5" customHeight="1" x14ac:dyDescent="0.45">
      <c r="A76" s="6" t="s">
        <v>8</v>
      </c>
      <c r="B76" s="6" t="s">
        <v>27</v>
      </c>
      <c r="C76" s="6">
        <v>456</v>
      </c>
      <c r="D76" s="6">
        <v>456</v>
      </c>
      <c r="E76" s="7">
        <v>4.58</v>
      </c>
      <c r="F76" s="7">
        <v>2.9</v>
      </c>
      <c r="G76">
        <f t="shared" si="1"/>
        <v>1160</v>
      </c>
    </row>
    <row r="77" spans="1:7" ht="22.5" customHeight="1" x14ac:dyDescent="0.45">
      <c r="A77" s="6" t="s">
        <v>9</v>
      </c>
      <c r="B77" s="6" t="s">
        <v>27</v>
      </c>
      <c r="C77" s="6">
        <v>453</v>
      </c>
      <c r="D77" s="6">
        <v>443</v>
      </c>
      <c r="E77" s="7">
        <v>8.3000000000000007</v>
      </c>
      <c r="F77" s="7">
        <v>4.2</v>
      </c>
      <c r="G77">
        <f t="shared" si="1"/>
        <v>1680</v>
      </c>
    </row>
    <row r="78" spans="1:7" ht="22.5" customHeight="1" x14ac:dyDescent="0.45">
      <c r="A78" s="6" t="s">
        <v>10</v>
      </c>
      <c r="B78" s="6" t="s">
        <v>27</v>
      </c>
      <c r="C78" s="6">
        <v>430</v>
      </c>
      <c r="D78" s="6">
        <v>428</v>
      </c>
      <c r="E78" s="7">
        <v>6</v>
      </c>
      <c r="F78" s="7">
        <v>3.18</v>
      </c>
      <c r="G78">
        <f t="shared" si="1"/>
        <v>1272</v>
      </c>
    </row>
    <row r="79" spans="1:7" ht="22.5" customHeight="1" x14ac:dyDescent="0.45">
      <c r="A79" s="6" t="s">
        <v>11</v>
      </c>
      <c r="B79" s="6" t="s">
        <v>27</v>
      </c>
      <c r="C79" s="6">
        <v>427</v>
      </c>
      <c r="D79" s="6">
        <v>359</v>
      </c>
      <c r="E79" s="7">
        <v>6.44</v>
      </c>
      <c r="F79" s="7">
        <v>3.43</v>
      </c>
      <c r="G79">
        <f t="shared" si="1"/>
        <v>1372</v>
      </c>
    </row>
    <row r="80" spans="1:7" ht="22.5" customHeight="1" x14ac:dyDescent="0.45">
      <c r="A80" s="6" t="s">
        <v>12</v>
      </c>
      <c r="B80" s="6" t="s">
        <v>27</v>
      </c>
      <c r="C80" s="6">
        <v>425</v>
      </c>
      <c r="D80" s="6">
        <v>424</v>
      </c>
      <c r="E80" s="7">
        <v>6</v>
      </c>
      <c r="F80" s="7">
        <v>3.37</v>
      </c>
      <c r="G80">
        <f t="shared" si="1"/>
        <v>1348</v>
      </c>
    </row>
    <row r="81" spans="1:7" ht="22.5" customHeight="1" x14ac:dyDescent="0.45">
      <c r="A81" s="6" t="s">
        <v>13</v>
      </c>
      <c r="B81" s="6" t="s">
        <v>27</v>
      </c>
      <c r="C81" s="6">
        <v>449</v>
      </c>
      <c r="D81" s="6">
        <v>428</v>
      </c>
      <c r="E81" s="7">
        <v>7.81</v>
      </c>
      <c r="F81" s="7">
        <v>3.87</v>
      </c>
      <c r="G81">
        <f t="shared" si="1"/>
        <v>1548</v>
      </c>
    </row>
    <row r="82" spans="1:7" ht="22.5" customHeight="1" x14ac:dyDescent="0.45">
      <c r="A82" s="6" t="s">
        <v>14</v>
      </c>
      <c r="B82" s="6" t="s">
        <v>27</v>
      </c>
      <c r="C82" s="6">
        <v>407</v>
      </c>
      <c r="D82" s="6">
        <v>406</v>
      </c>
      <c r="E82" s="7">
        <v>6.65</v>
      </c>
      <c r="F82" s="7">
        <v>3.39</v>
      </c>
      <c r="G82">
        <f t="shared" si="1"/>
        <v>1356</v>
      </c>
    </row>
    <row r="83" spans="1:7" ht="22.5" customHeight="1" x14ac:dyDescent="0.45">
      <c r="A83" s="6" t="s">
        <v>15</v>
      </c>
      <c r="B83" s="6" t="s">
        <v>27</v>
      </c>
      <c r="C83" s="6">
        <v>420</v>
      </c>
      <c r="D83" s="6">
        <v>418</v>
      </c>
      <c r="E83" s="7">
        <v>5.89</v>
      </c>
      <c r="F83" s="7">
        <v>2.9</v>
      </c>
      <c r="G83">
        <f t="shared" si="1"/>
        <v>1160</v>
      </c>
    </row>
    <row r="84" spans="1:7" ht="22.5" customHeight="1" x14ac:dyDescent="0.45">
      <c r="A84" s="6" t="s">
        <v>16</v>
      </c>
      <c r="B84" s="6" t="s">
        <v>27</v>
      </c>
      <c r="C84" s="6">
        <v>326</v>
      </c>
      <c r="D84" s="6">
        <v>325</v>
      </c>
      <c r="E84" s="7">
        <v>8.4</v>
      </c>
      <c r="F84" s="7">
        <v>3.96</v>
      </c>
      <c r="G84">
        <f t="shared" si="1"/>
        <v>1584</v>
      </c>
    </row>
    <row r="85" spans="1:7" ht="22.5" customHeight="1" x14ac:dyDescent="0.45">
      <c r="A85" s="6" t="s">
        <v>17</v>
      </c>
      <c r="B85" s="6" t="s">
        <v>27</v>
      </c>
      <c r="C85" s="6">
        <v>490</v>
      </c>
      <c r="D85" s="6">
        <v>408</v>
      </c>
      <c r="E85" s="7">
        <v>11.17</v>
      </c>
      <c r="F85" s="7">
        <v>6</v>
      </c>
      <c r="G85">
        <f t="shared" si="1"/>
        <v>2400</v>
      </c>
    </row>
    <row r="86" spans="1:7" ht="22.5" customHeight="1" x14ac:dyDescent="0.45">
      <c r="A86" s="6" t="s">
        <v>18</v>
      </c>
      <c r="B86" s="6" t="s">
        <v>27</v>
      </c>
      <c r="C86" s="6">
        <v>441</v>
      </c>
      <c r="D86" s="6">
        <v>440</v>
      </c>
      <c r="E86" s="7">
        <v>9.6300000000000008</v>
      </c>
      <c r="F86" s="7">
        <v>5.28</v>
      </c>
      <c r="G86">
        <f t="shared" si="1"/>
        <v>2112</v>
      </c>
    </row>
    <row r="87" spans="1:7" ht="22.5" customHeight="1" x14ac:dyDescent="0.45">
      <c r="A87" s="6" t="s">
        <v>19</v>
      </c>
      <c r="B87" s="6" t="s">
        <v>27</v>
      </c>
      <c r="C87" s="6">
        <v>404</v>
      </c>
      <c r="D87" s="6">
        <v>372</v>
      </c>
      <c r="E87" s="7">
        <v>6.63</v>
      </c>
      <c r="F87" s="7">
        <v>3.77</v>
      </c>
      <c r="G87">
        <f t="shared" si="1"/>
        <v>1508</v>
      </c>
    </row>
    <row r="88" spans="1:7" ht="22.5" customHeight="1" x14ac:dyDescent="0.45">
      <c r="A88" s="6" t="s">
        <v>20</v>
      </c>
      <c r="B88" s="6" t="s">
        <v>27</v>
      </c>
      <c r="C88" s="6">
        <v>424</v>
      </c>
      <c r="D88" s="6">
        <v>337</v>
      </c>
      <c r="E88" s="7">
        <v>7.96</v>
      </c>
      <c r="F88" s="7">
        <v>4.24</v>
      </c>
      <c r="G88">
        <f t="shared" si="1"/>
        <v>1696</v>
      </c>
    </row>
    <row r="89" spans="1:7" ht="22.5" customHeight="1" x14ac:dyDescent="0.45">
      <c r="A89" s="6" t="s">
        <v>21</v>
      </c>
      <c r="B89" s="6" t="s">
        <v>27</v>
      </c>
      <c r="C89" s="6">
        <v>409</v>
      </c>
      <c r="D89" s="6">
        <v>407</v>
      </c>
      <c r="E89" s="7">
        <v>6.43</v>
      </c>
      <c r="F89" s="7">
        <v>2.78</v>
      </c>
      <c r="G89">
        <f t="shared" si="1"/>
        <v>1111.9999999999998</v>
      </c>
    </row>
    <row r="90" spans="1:7" ht="22.5" customHeight="1" x14ac:dyDescent="0.45">
      <c r="A90" s="6" t="s">
        <v>22</v>
      </c>
      <c r="B90" s="6" t="s">
        <v>27</v>
      </c>
      <c r="C90" s="6">
        <v>405</v>
      </c>
      <c r="D90" s="6">
        <v>351</v>
      </c>
      <c r="E90" s="7">
        <v>5.63</v>
      </c>
      <c r="F90" s="7">
        <v>2.84</v>
      </c>
      <c r="G90">
        <f t="shared" si="1"/>
        <v>1136</v>
      </c>
    </row>
    <row r="91" spans="1:7" ht="22.5" customHeight="1" x14ac:dyDescent="0.45">
      <c r="A91" s="6" t="s">
        <v>23</v>
      </c>
      <c r="B91" s="6" t="s">
        <v>27</v>
      </c>
      <c r="C91" s="6">
        <v>480</v>
      </c>
      <c r="D91" s="6">
        <v>363</v>
      </c>
      <c r="E91" s="7">
        <v>4.78</v>
      </c>
      <c r="F91" s="7">
        <v>2.62</v>
      </c>
      <c r="G91">
        <f t="shared" si="1"/>
        <v>1048</v>
      </c>
    </row>
    <row r="92" spans="1:7" ht="22.5" customHeight="1" x14ac:dyDescent="0.45">
      <c r="A92" s="6" t="s">
        <v>5</v>
      </c>
      <c r="B92" s="6" t="s">
        <v>28</v>
      </c>
      <c r="C92" s="6">
        <v>351</v>
      </c>
      <c r="D92" s="6">
        <v>350</v>
      </c>
      <c r="E92" s="7">
        <v>4.07</v>
      </c>
      <c r="F92" s="7">
        <v>2.09</v>
      </c>
      <c r="G92">
        <f t="shared" si="1"/>
        <v>836</v>
      </c>
    </row>
    <row r="93" spans="1:7" ht="22.5" customHeight="1" x14ac:dyDescent="0.45">
      <c r="A93" s="6" t="s">
        <v>7</v>
      </c>
      <c r="B93" s="6" t="s">
        <v>28</v>
      </c>
      <c r="C93" s="6">
        <v>451</v>
      </c>
      <c r="D93" s="6">
        <v>342</v>
      </c>
      <c r="E93" s="7">
        <v>3.32</v>
      </c>
      <c r="F93" s="7">
        <v>2.5</v>
      </c>
      <c r="G93">
        <f t="shared" si="1"/>
        <v>1000</v>
      </c>
    </row>
    <row r="94" spans="1:7" ht="22.5" customHeight="1" x14ac:dyDescent="0.45">
      <c r="A94" s="6" t="s">
        <v>8</v>
      </c>
      <c r="B94" s="6" t="s">
        <v>28</v>
      </c>
      <c r="C94" s="6">
        <v>447</v>
      </c>
      <c r="D94" s="6">
        <v>305</v>
      </c>
      <c r="E94" s="7">
        <v>5.3</v>
      </c>
      <c r="F94" s="7">
        <v>2.75</v>
      </c>
      <c r="G94">
        <f t="shared" si="1"/>
        <v>1100</v>
      </c>
    </row>
    <row r="95" spans="1:7" ht="22.5" customHeight="1" x14ac:dyDescent="0.45">
      <c r="A95" s="6" t="s">
        <v>9</v>
      </c>
      <c r="B95" s="6" t="s">
        <v>28</v>
      </c>
      <c r="C95" s="6">
        <v>379</v>
      </c>
      <c r="D95" s="6">
        <v>363</v>
      </c>
      <c r="E95" s="7">
        <v>8.31</v>
      </c>
      <c r="F95" s="7">
        <v>4.62</v>
      </c>
      <c r="G95">
        <f t="shared" si="1"/>
        <v>1848</v>
      </c>
    </row>
    <row r="96" spans="1:7" ht="22.5" customHeight="1" x14ac:dyDescent="0.45">
      <c r="A96" s="6" t="s">
        <v>10</v>
      </c>
      <c r="B96" s="6" t="s">
        <v>28</v>
      </c>
      <c r="C96" s="6">
        <v>429</v>
      </c>
      <c r="D96" s="6">
        <v>415</v>
      </c>
      <c r="E96" s="7">
        <v>7.5</v>
      </c>
      <c r="F96" s="7">
        <v>4.0999999999999996</v>
      </c>
      <c r="G96">
        <f t="shared" si="1"/>
        <v>1640</v>
      </c>
    </row>
    <row r="97" spans="1:7" ht="22.5" customHeight="1" x14ac:dyDescent="0.45">
      <c r="A97" s="6" t="s">
        <v>11</v>
      </c>
      <c r="B97" s="6" t="s">
        <v>28</v>
      </c>
      <c r="C97" s="6">
        <v>455</v>
      </c>
      <c r="D97" s="6">
        <v>450</v>
      </c>
      <c r="E97" s="7">
        <v>6.4</v>
      </c>
      <c r="F97" s="7">
        <v>3.6</v>
      </c>
      <c r="G97">
        <f t="shared" si="1"/>
        <v>1440</v>
      </c>
    </row>
    <row r="98" spans="1:7" ht="22.5" customHeight="1" x14ac:dyDescent="0.45">
      <c r="A98" s="6" t="s">
        <v>12</v>
      </c>
      <c r="B98" s="6" t="s">
        <v>28</v>
      </c>
      <c r="C98" s="6">
        <v>437</v>
      </c>
      <c r="D98" s="6">
        <v>435</v>
      </c>
      <c r="E98" s="7">
        <v>7.29</v>
      </c>
      <c r="F98" s="7">
        <v>4.04</v>
      </c>
      <c r="G98">
        <f t="shared" si="1"/>
        <v>1616</v>
      </c>
    </row>
    <row r="99" spans="1:7" ht="22.5" customHeight="1" x14ac:dyDescent="0.45">
      <c r="A99" s="6" t="s">
        <v>13</v>
      </c>
      <c r="B99" s="6" t="s">
        <v>28</v>
      </c>
      <c r="C99" s="6">
        <v>400</v>
      </c>
      <c r="D99" s="6">
        <v>362</v>
      </c>
      <c r="E99" s="7">
        <v>8</v>
      </c>
      <c r="F99" s="7">
        <v>4.33</v>
      </c>
      <c r="G99">
        <f t="shared" si="1"/>
        <v>1732</v>
      </c>
    </row>
    <row r="100" spans="1:7" ht="22.5" customHeight="1" x14ac:dyDescent="0.45">
      <c r="A100" s="6" t="s">
        <v>14</v>
      </c>
      <c r="B100" s="6" t="s">
        <v>28</v>
      </c>
      <c r="C100" s="6">
        <v>417</v>
      </c>
      <c r="D100" s="6">
        <v>411</v>
      </c>
      <c r="E100" s="7">
        <v>7.5</v>
      </c>
      <c r="F100" s="7">
        <v>3.71</v>
      </c>
      <c r="G100">
        <f t="shared" si="1"/>
        <v>1484</v>
      </c>
    </row>
    <row r="101" spans="1:7" ht="22.5" customHeight="1" x14ac:dyDescent="0.45">
      <c r="A101" s="6" t="s">
        <v>15</v>
      </c>
      <c r="B101" s="6" t="s">
        <v>28</v>
      </c>
      <c r="C101" s="6">
        <v>375</v>
      </c>
      <c r="D101" s="6">
        <v>374</v>
      </c>
      <c r="E101" s="7">
        <v>6.24</v>
      </c>
      <c r="F101" s="7">
        <v>3.4</v>
      </c>
      <c r="G101">
        <f t="shared" si="1"/>
        <v>1360</v>
      </c>
    </row>
    <row r="102" spans="1:7" ht="22.5" customHeight="1" x14ac:dyDescent="0.45">
      <c r="A102" s="6" t="s">
        <v>16</v>
      </c>
      <c r="B102" s="6" t="s">
        <v>28</v>
      </c>
      <c r="C102" s="6">
        <v>310</v>
      </c>
      <c r="D102" s="6">
        <v>301</v>
      </c>
      <c r="E102" s="7">
        <v>7.5</v>
      </c>
      <c r="F102" s="7">
        <v>4.25</v>
      </c>
      <c r="G102">
        <f t="shared" si="1"/>
        <v>1700</v>
      </c>
    </row>
    <row r="103" spans="1:7" ht="22.5" customHeight="1" x14ac:dyDescent="0.45">
      <c r="A103" s="6" t="s">
        <v>17</v>
      </c>
      <c r="B103" s="6" t="s">
        <v>28</v>
      </c>
      <c r="C103" s="6">
        <v>427</v>
      </c>
      <c r="D103" s="6">
        <v>400</v>
      </c>
      <c r="E103" s="7">
        <v>10.11</v>
      </c>
      <c r="F103" s="7">
        <v>5.9</v>
      </c>
      <c r="G103">
        <f t="shared" si="1"/>
        <v>2360</v>
      </c>
    </row>
    <row r="104" spans="1:7" ht="22.5" customHeight="1" x14ac:dyDescent="0.45">
      <c r="A104" s="6" t="s">
        <v>18</v>
      </c>
      <c r="B104" s="6" t="s">
        <v>28</v>
      </c>
      <c r="C104" s="6">
        <v>467</v>
      </c>
      <c r="D104" s="6">
        <v>393</v>
      </c>
      <c r="E104" s="7">
        <v>8.24</v>
      </c>
      <c r="F104" s="7">
        <v>4.4400000000000004</v>
      </c>
      <c r="G104">
        <f t="shared" si="1"/>
        <v>1776.0000000000002</v>
      </c>
    </row>
    <row r="105" spans="1:7" ht="22.5" customHeight="1" x14ac:dyDescent="0.45">
      <c r="A105" s="6" t="s">
        <v>19</v>
      </c>
      <c r="B105" s="6" t="s">
        <v>28</v>
      </c>
      <c r="C105" s="6">
        <v>416</v>
      </c>
      <c r="D105" s="6">
        <v>305</v>
      </c>
      <c r="E105" s="7">
        <v>6.09</v>
      </c>
      <c r="F105" s="7">
        <v>3.7</v>
      </c>
      <c r="G105">
        <f t="shared" si="1"/>
        <v>1480</v>
      </c>
    </row>
    <row r="106" spans="1:7" ht="22.5" customHeight="1" x14ac:dyDescent="0.45">
      <c r="A106" s="6" t="s">
        <v>20</v>
      </c>
      <c r="B106" s="6" t="s">
        <v>28</v>
      </c>
      <c r="C106" s="6">
        <v>410</v>
      </c>
      <c r="D106" s="6">
        <v>377</v>
      </c>
      <c r="E106" s="7">
        <v>9.4</v>
      </c>
      <c r="F106" s="7">
        <v>4.7699999999999996</v>
      </c>
      <c r="G106">
        <f t="shared" si="1"/>
        <v>1907.9999999999998</v>
      </c>
    </row>
    <row r="107" spans="1:7" ht="22.5" customHeight="1" x14ac:dyDescent="0.45">
      <c r="A107" s="6" t="s">
        <v>21</v>
      </c>
      <c r="B107" s="6" t="s">
        <v>28</v>
      </c>
      <c r="C107" s="6">
        <v>367</v>
      </c>
      <c r="D107" s="6">
        <v>360</v>
      </c>
      <c r="E107" s="7">
        <v>7.4</v>
      </c>
      <c r="F107" s="7">
        <v>3.56</v>
      </c>
      <c r="G107">
        <f t="shared" si="1"/>
        <v>1424</v>
      </c>
    </row>
    <row r="108" spans="1:7" ht="22.5" customHeight="1" x14ac:dyDescent="0.45">
      <c r="A108" s="6" t="s">
        <v>22</v>
      </c>
      <c r="B108" s="6" t="s">
        <v>28</v>
      </c>
      <c r="C108" s="6">
        <v>371</v>
      </c>
      <c r="D108" s="6">
        <v>288</v>
      </c>
      <c r="E108" s="7">
        <v>5.88</v>
      </c>
      <c r="F108" s="7">
        <v>3.84</v>
      </c>
      <c r="G108">
        <f t="shared" si="1"/>
        <v>1536</v>
      </c>
    </row>
    <row r="109" spans="1:7" ht="22.5" customHeight="1" x14ac:dyDescent="0.45">
      <c r="A109" s="6" t="s">
        <v>23</v>
      </c>
      <c r="B109" s="6" t="s">
        <v>28</v>
      </c>
      <c r="C109" s="6">
        <v>389</v>
      </c>
      <c r="D109" s="6">
        <v>283</v>
      </c>
      <c r="E109" s="7">
        <v>4.75</v>
      </c>
      <c r="F109" s="7">
        <v>2.13</v>
      </c>
      <c r="G109">
        <f t="shared" si="1"/>
        <v>852</v>
      </c>
    </row>
    <row r="160" ht="32.450000000000003" customHeight="1" x14ac:dyDescent="0.4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2B87-A0BD-41D4-9C60-85980261BE89}">
  <dimension ref="A3:E22"/>
  <sheetViews>
    <sheetView workbookViewId="0">
      <selection activeCell="D7" sqref="D7"/>
    </sheetView>
  </sheetViews>
  <sheetFormatPr defaultRowHeight="14.25" x14ac:dyDescent="0.45"/>
  <cols>
    <col min="1" max="1" width="70.06640625" customWidth="1"/>
    <col min="2" max="2" width="21.46484375" customWidth="1"/>
    <col min="3" max="3" width="11.73046875" bestFit="1" customWidth="1"/>
    <col min="4" max="4" width="14.3984375" bestFit="1" customWidth="1"/>
    <col min="5" max="5" width="13.53125" bestFit="1" customWidth="1"/>
    <col min="6" max="6" width="22.53125" customWidth="1"/>
  </cols>
  <sheetData>
    <row r="3" spans="1:5" x14ac:dyDescent="0.45">
      <c r="A3" s="5" t="s">
        <v>68</v>
      </c>
      <c r="B3" s="5" t="s">
        <v>64</v>
      </c>
      <c r="C3" s="8" t="s">
        <v>60</v>
      </c>
      <c r="D3" s="8" t="s">
        <v>62</v>
      </c>
      <c r="E3" s="9" t="s">
        <v>63</v>
      </c>
    </row>
    <row r="4" spans="1:5" x14ac:dyDescent="0.45">
      <c r="A4" s="1" t="s">
        <v>35</v>
      </c>
      <c r="B4" s="7"/>
      <c r="C4" s="10" t="s">
        <v>5</v>
      </c>
      <c r="D4" s="11">
        <v>864.66666666666663</v>
      </c>
      <c r="E4" s="12">
        <v>278.99725207726794</v>
      </c>
    </row>
    <row r="5" spans="1:5" x14ac:dyDescent="0.45">
      <c r="A5" s="1" t="s">
        <v>38</v>
      </c>
      <c r="B5" s="7" t="s">
        <v>65</v>
      </c>
      <c r="C5" s="13" t="s">
        <v>7</v>
      </c>
      <c r="D5" s="14">
        <v>1185.3333333333333</v>
      </c>
      <c r="E5" s="15">
        <v>297.2478202891769</v>
      </c>
    </row>
    <row r="6" spans="1:5" x14ac:dyDescent="0.45">
      <c r="A6" t="s">
        <v>51</v>
      </c>
      <c r="B6" s="5" t="s">
        <v>66</v>
      </c>
      <c r="C6" s="13" t="s">
        <v>16</v>
      </c>
      <c r="D6" s="14">
        <v>1664.6666666666667</v>
      </c>
      <c r="E6" s="15">
        <v>121.23145906350707</v>
      </c>
    </row>
    <row r="7" spans="1:5" x14ac:dyDescent="0.45">
      <c r="A7" t="s">
        <v>52</v>
      </c>
      <c r="B7" s="5" t="s">
        <v>66</v>
      </c>
      <c r="C7" s="13" t="s">
        <v>17</v>
      </c>
      <c r="D7" s="14">
        <v>2135.3333333333335</v>
      </c>
      <c r="E7" s="15">
        <v>232.17120120003347</v>
      </c>
    </row>
    <row r="8" spans="1:5" x14ac:dyDescent="0.45">
      <c r="A8" t="s">
        <v>53</v>
      </c>
      <c r="B8" s="5" t="s">
        <v>67</v>
      </c>
      <c r="C8" s="13" t="s">
        <v>18</v>
      </c>
      <c r="D8" s="14">
        <v>1957.3333333333333</v>
      </c>
      <c r="E8" s="15">
        <v>247.11670657134135</v>
      </c>
    </row>
    <row r="9" spans="1:5" x14ac:dyDescent="0.45">
      <c r="A9" t="s">
        <v>54</v>
      </c>
      <c r="B9" s="5" t="s">
        <v>66</v>
      </c>
      <c r="C9" s="13" t="s">
        <v>19</v>
      </c>
      <c r="D9" s="14">
        <v>1582</v>
      </c>
      <c r="E9" s="15">
        <v>208.71799155798715</v>
      </c>
    </row>
    <row r="10" spans="1:5" x14ac:dyDescent="0.45">
      <c r="A10" t="s">
        <v>55</v>
      </c>
      <c r="B10" s="5" t="s">
        <v>65</v>
      </c>
      <c r="C10" s="13" t="s">
        <v>20</v>
      </c>
      <c r="D10" s="14">
        <v>1901.3333333333333</v>
      </c>
      <c r="E10" s="15">
        <v>169.13268952708822</v>
      </c>
    </row>
    <row r="11" spans="1:5" x14ac:dyDescent="0.45">
      <c r="A11" t="s">
        <v>56</v>
      </c>
      <c r="B11" s="5" t="s">
        <v>66</v>
      </c>
      <c r="C11" s="13" t="s">
        <v>21</v>
      </c>
      <c r="D11" s="14">
        <v>1140</v>
      </c>
      <c r="E11" s="15">
        <v>220.66082570315919</v>
      </c>
    </row>
    <row r="12" spans="1:5" x14ac:dyDescent="0.45">
      <c r="A12" t="s">
        <v>57</v>
      </c>
      <c r="B12" s="5" t="s">
        <v>67</v>
      </c>
      <c r="C12" s="13" t="s">
        <v>22</v>
      </c>
      <c r="D12" s="14">
        <v>1204</v>
      </c>
      <c r="E12" s="15">
        <v>197.05024739898198</v>
      </c>
    </row>
    <row r="13" spans="1:5" x14ac:dyDescent="0.45">
      <c r="A13" t="s">
        <v>58</v>
      </c>
      <c r="B13" s="5" t="s">
        <v>67</v>
      </c>
      <c r="C13" s="13" t="s">
        <v>23</v>
      </c>
      <c r="D13" s="14">
        <v>1209.3333333333333</v>
      </c>
      <c r="E13" s="15">
        <v>238.05433553427838</v>
      </c>
    </row>
    <row r="14" spans="1:5" x14ac:dyDescent="0.45">
      <c r="A14" t="s">
        <v>42</v>
      </c>
      <c r="B14" s="5" t="s">
        <v>67</v>
      </c>
      <c r="C14" s="13" t="s">
        <v>8</v>
      </c>
      <c r="D14" s="14">
        <v>1190</v>
      </c>
      <c r="E14" s="15">
        <v>152.03683764140848</v>
      </c>
    </row>
    <row r="15" spans="1:5" x14ac:dyDescent="0.45">
      <c r="A15" t="s">
        <v>43</v>
      </c>
      <c r="B15" s="5" t="s">
        <v>65</v>
      </c>
      <c r="C15" s="13" t="s">
        <v>9</v>
      </c>
      <c r="D15" s="14">
        <v>1724</v>
      </c>
      <c r="E15" s="15">
        <v>131.42906832204204</v>
      </c>
    </row>
    <row r="16" spans="1:5" x14ac:dyDescent="0.45">
      <c r="A16" t="s">
        <v>44</v>
      </c>
      <c r="B16" s="5" t="s">
        <v>65</v>
      </c>
      <c r="C16" s="13" t="s">
        <v>10</v>
      </c>
      <c r="D16" s="14">
        <v>1530</v>
      </c>
      <c r="E16" s="15">
        <v>240.42296063396273</v>
      </c>
    </row>
    <row r="17" spans="1:5" x14ac:dyDescent="0.45">
      <c r="A17" t="s">
        <v>45</v>
      </c>
      <c r="C17" s="13" t="s">
        <v>11</v>
      </c>
      <c r="D17" s="14">
        <v>1452</v>
      </c>
      <c r="E17" s="15">
        <v>131.11216572080565</v>
      </c>
    </row>
    <row r="18" spans="1:5" x14ac:dyDescent="0.45">
      <c r="A18" t="s">
        <v>47</v>
      </c>
      <c r="C18" s="13" t="s">
        <v>12</v>
      </c>
      <c r="D18" s="14">
        <v>1366.6666666666667</v>
      </c>
      <c r="E18" s="15">
        <v>173.00481688862536</v>
      </c>
    </row>
    <row r="19" spans="1:5" x14ac:dyDescent="0.45">
      <c r="A19" t="s">
        <v>48</v>
      </c>
      <c r="B19" s="5" t="s">
        <v>67</v>
      </c>
      <c r="C19" s="13" t="s">
        <v>13</v>
      </c>
      <c r="D19" s="14">
        <v>1574</v>
      </c>
      <c r="E19" s="15">
        <v>158.89115771495909</v>
      </c>
    </row>
    <row r="20" spans="1:5" x14ac:dyDescent="0.45">
      <c r="A20" t="s">
        <v>49</v>
      </c>
      <c r="B20" s="5" t="s">
        <v>65</v>
      </c>
      <c r="C20" s="13" t="s">
        <v>14</v>
      </c>
      <c r="D20" s="14">
        <v>1530</v>
      </c>
      <c r="E20" s="15">
        <v>101.21659942914502</v>
      </c>
    </row>
    <row r="21" spans="1:5" x14ac:dyDescent="0.45">
      <c r="A21" t="s">
        <v>50</v>
      </c>
      <c r="B21" s="5" t="s">
        <v>66</v>
      </c>
      <c r="C21" s="13" t="s">
        <v>15</v>
      </c>
      <c r="D21" s="14">
        <v>1190.6666666666667</v>
      </c>
      <c r="E21" s="15">
        <v>198.04915214831593</v>
      </c>
    </row>
    <row r="22" spans="1:5" x14ac:dyDescent="0.45">
      <c r="C22" s="16" t="s">
        <v>61</v>
      </c>
      <c r="D22" s="17">
        <v>1466.7407407407406</v>
      </c>
      <c r="E22" s="18">
        <v>372.28976681371807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data</vt:lpstr>
      <vt:lpstr>treatment</vt:lpstr>
      <vt:lpstr>original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 X6516</dc:creator>
  <cp:lastModifiedBy>Benjamin Bukombe</cp:lastModifiedBy>
  <dcterms:created xsi:type="dcterms:W3CDTF">2026-06-09T02:21:14Z</dcterms:created>
  <dcterms:modified xsi:type="dcterms:W3CDTF">2026-07-27T14:10:41Z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19bbb4f893144a619e27596b8a22bb32</vt:lpwstr>
  </property>
</Properties>
</file>