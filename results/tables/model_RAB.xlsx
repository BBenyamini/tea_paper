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min\Oath Dropbox\Benjamin Bukombe\tea_paper\results\tables\"/>
    </mc:Choice>
  </mc:AlternateContent>
  <xr:revisionPtr revIDLastSave="0" documentId="13_ncr:1_{1747BC2A-A6A5-46A5-AC3D-77509D83A7D5}" xr6:coauthVersionLast="47" xr6:coauthVersionMax="47" xr10:uidLastSave="{00000000-0000-0000-0000-000000000000}"/>
  <bookViews>
    <workbookView xWindow="71880" yWindow="1185" windowWidth="29040" windowHeight="15720" activeTab="2" xr2:uid="{E965CB2D-C288-4D10-BD75-EE55C6BD7B9F}"/>
  </bookViews>
  <sheets>
    <sheet name="RAB" sheetId="1" r:id="rId1"/>
    <sheet name="macro-scale" sheetId="3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3" l="1"/>
  <c r="G21" i="3"/>
</calcChain>
</file>

<file path=xl/sharedStrings.xml><?xml version="1.0" encoding="utf-8"?>
<sst xmlns="http://schemas.openxmlformats.org/spreadsheetml/2006/main" count="39" uniqueCount="34">
  <si>
    <t>Std.Err.</t>
  </si>
  <si>
    <t>z</t>
  </si>
  <si>
    <t>P&gt;|z|</t>
  </si>
  <si>
    <t>Intercept</t>
  </si>
  <si>
    <t>Coefficients</t>
  </si>
  <si>
    <t>Time</t>
  </si>
  <si>
    <t>L.CI</t>
  </si>
  <si>
    <t>std err</t>
  </si>
  <si>
    <t>t</t>
  </si>
  <si>
    <t>P&gt;|t|</t>
  </si>
  <si>
    <t>coefficients</t>
  </si>
  <si>
    <t>U.CI</t>
  </si>
  <si>
    <t>L.CI [0.025]</t>
  </si>
  <si>
    <t>U.CI [0.975]</t>
  </si>
  <si>
    <t>UTC</t>
  </si>
  <si>
    <t>Ntendezi</t>
  </si>
  <si>
    <t>UTC:Ntendezi</t>
  </si>
  <si>
    <t>UTC:Time</t>
  </si>
  <si>
    <t>Ntendezi:Time</t>
  </si>
  <si>
    <t>UTC:Ntendezi:Time</t>
  </si>
  <si>
    <t>NPK-350kg/ha</t>
  </si>
  <si>
    <t>NPK70-OSL31-250g/ha</t>
  </si>
  <si>
    <t>NPK70-OSL31-250g/ha:Time</t>
  </si>
  <si>
    <t>NPK-350kg/ha:Time</t>
  </si>
  <si>
    <t>Treatment</t>
  </si>
  <si>
    <t>Site</t>
  </si>
  <si>
    <t>Bigutu (Upland-gentle slope/Baseline)</t>
  </si>
  <si>
    <t>Ntendezi (Lowland-Plain)</t>
  </si>
  <si>
    <t>OSL-Treated</t>
  </si>
  <si>
    <t>Daily tea yield Kg day-1</t>
  </si>
  <si>
    <t>R2</t>
  </si>
  <si>
    <t>Table X. Least Square daily cumulative tea yield across distinct topographic sites under OSL-treated and UTC.</t>
  </si>
  <si>
    <t>17.29-20.94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</si>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</sst>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3F42-302B-4A4A-A1AA-95F05EA37B26}">
  <dimension ref="A1:G7"/>
  <sheetViews>
    <sheetView workbookViewId="0">
      <selection sqref="A1:G7"/>
    </sheetView>
  </sheetViews>
  <sheetFormatPr defaultRowHeight="14.25" x14ac:dyDescent="0.45"/>
  <cols>
    <col min="1" max="1" width="28.53125" customWidth="1"/>
    <col min="2" max="2" width="14.6640625" customWidth="1"/>
  </cols>
  <sheetData>
    <row r="1" spans="1:7" x14ac:dyDescent="0.45">
      <c r="B1" s="1" t="s">
        <v>4</v>
      </c>
      <c r="C1" s="1" t="s">
        <v>0</v>
      </c>
      <c r="D1" s="1" t="s">
        <v>1</v>
      </c>
      <c r="E1" s="1" t="s">
        <v>2</v>
      </c>
      <c r="F1" s="1" t="s">
        <v>6</v>
      </c>
      <c r="G1" s="1" t="s">
        <v>11</v>
      </c>
    </row>
    <row r="2" spans="1:7" x14ac:dyDescent="0.45">
      <c r="A2" s="1" t="s">
        <v>3</v>
      </c>
      <c r="B2" s="2">
        <v>799.85799999999995</v>
      </c>
      <c r="C2" s="2">
        <v>351.27</v>
      </c>
      <c r="D2" s="2">
        <v>2.2770000000000001</v>
      </c>
      <c r="E2" s="2">
        <v>2.3E-2</v>
      </c>
      <c r="F2" s="2">
        <v>111.38200000000001</v>
      </c>
      <c r="G2" s="2">
        <v>1488.3340000000001</v>
      </c>
    </row>
    <row r="3" spans="1:7" x14ac:dyDescent="0.45">
      <c r="A3" s="1" t="s">
        <v>21</v>
      </c>
      <c r="B3" s="2">
        <v>-175.76499999999999</v>
      </c>
      <c r="C3" s="2">
        <v>145.589</v>
      </c>
      <c r="D3" s="2">
        <v>-1.2070000000000001</v>
      </c>
      <c r="E3" s="2">
        <v>0.22700000000000001</v>
      </c>
      <c r="F3" s="2">
        <v>-461.11399999999998</v>
      </c>
      <c r="G3" s="2">
        <v>109.58499999999999</v>
      </c>
    </row>
    <row r="4" spans="1:7" x14ac:dyDescent="0.45">
      <c r="A4" s="1" t="s">
        <v>20</v>
      </c>
      <c r="B4" s="2">
        <v>-298.03699999999998</v>
      </c>
      <c r="C4" s="2">
        <v>140.01900000000001</v>
      </c>
      <c r="D4" s="2">
        <v>-2.129</v>
      </c>
      <c r="E4" s="2">
        <v>3.3000000000000002E-2</v>
      </c>
      <c r="F4" s="2">
        <v>-572.46900000000005</v>
      </c>
      <c r="G4" s="2">
        <v>-23.605</v>
      </c>
    </row>
    <row r="5" spans="1:7" x14ac:dyDescent="0.45">
      <c r="A5" s="1" t="s">
        <v>22</v>
      </c>
      <c r="B5" s="2">
        <v>-6.7249999999999996</v>
      </c>
      <c r="C5" s="2">
        <v>1.6850000000000001</v>
      </c>
      <c r="D5" s="2">
        <v>-3.9910000000000001</v>
      </c>
      <c r="E5" s="2">
        <v>0</v>
      </c>
      <c r="F5" s="2">
        <v>-10.028</v>
      </c>
      <c r="G5" s="2">
        <v>-3.4220000000000002</v>
      </c>
    </row>
    <row r="6" spans="1:7" x14ac:dyDescent="0.45">
      <c r="A6" s="1" t="s">
        <v>23</v>
      </c>
      <c r="B6" s="2">
        <v>-13.153</v>
      </c>
      <c r="C6" s="2">
        <v>1.6379999999999999</v>
      </c>
      <c r="D6" s="2">
        <v>-8.0280000000000005</v>
      </c>
      <c r="E6" s="2">
        <v>0</v>
      </c>
      <c r="F6" s="2">
        <v>-16.364000000000001</v>
      </c>
      <c r="G6" s="2">
        <v>-9.9420000000000002</v>
      </c>
    </row>
    <row r="7" spans="1:7" x14ac:dyDescent="0.45">
      <c r="A7" s="1" t="s">
        <v>5</v>
      </c>
      <c r="B7" s="2">
        <v>30.664000000000001</v>
      </c>
      <c r="C7" s="2">
        <v>1.159</v>
      </c>
      <c r="D7" s="2">
        <v>26.468</v>
      </c>
      <c r="E7" s="2">
        <v>0</v>
      </c>
      <c r="F7" s="2">
        <v>28.393000000000001</v>
      </c>
      <c r="G7" s="2">
        <v>32.933999999999997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46A4-4FDA-455D-BCB3-BACCF5DA39F2}">
  <dimension ref="A1:G23"/>
  <sheetViews>
    <sheetView workbookViewId="0">
      <selection activeCell="K1" sqref="K1"/>
    </sheetView>
  </sheetViews>
  <sheetFormatPr defaultRowHeight="14.25" x14ac:dyDescent="0.45"/>
  <cols>
    <col min="1" max="1" width="58.59765625" customWidth="1"/>
    <col min="2" max="2" width="15.3984375" customWidth="1"/>
    <col min="6" max="6" width="11.265625" customWidth="1"/>
    <col min="7" max="7" width="19.265625" customWidth="1"/>
  </cols>
  <sheetData>
    <row r="1" spans="1:7" x14ac:dyDescent="0.45">
      <c r="B1" t="s">
        <v>10</v>
      </c>
      <c r="C1" t="s">
        <v>7</v>
      </c>
      <c r="D1" t="s">
        <v>8</v>
      </c>
      <c r="E1" t="s">
        <v>9</v>
      </c>
      <c r="F1" s="1" t="s">
        <v>12</v>
      </c>
      <c r="G1" s="1" t="s">
        <v>13</v>
      </c>
    </row>
    <row r="2" spans="1:7" x14ac:dyDescent="0.45">
      <c r="A2" t="s">
        <v>3</v>
      </c>
      <c r="B2" s="3">
        <v>19.985299999999999</v>
      </c>
      <c r="C2" s="3">
        <v>79.349000000000004</v>
      </c>
      <c r="D2" s="3">
        <v>0.252</v>
      </c>
      <c r="E2" s="3">
        <v>0.80200000000000005</v>
      </c>
      <c r="F2" s="3">
        <v>-140.148</v>
      </c>
      <c r="G2" s="3">
        <v>180.11799999999999</v>
      </c>
    </row>
    <row r="3" spans="1:7" x14ac:dyDescent="0.45">
      <c r="A3" t="s">
        <v>14</v>
      </c>
      <c r="B3" s="3">
        <v>-10.3881</v>
      </c>
      <c r="C3" s="3">
        <v>112.217</v>
      </c>
      <c r="D3" s="3">
        <v>-9.2999999999999999E-2</v>
      </c>
      <c r="E3" s="3">
        <v>0.92700000000000005</v>
      </c>
      <c r="F3" s="3">
        <v>-236.85</v>
      </c>
      <c r="G3" s="3">
        <v>216.07400000000001</v>
      </c>
    </row>
    <row r="4" spans="1:7" x14ac:dyDescent="0.45">
      <c r="A4" t="s">
        <v>15</v>
      </c>
      <c r="B4" s="3">
        <v>169.35</v>
      </c>
      <c r="C4" s="3">
        <v>112.595</v>
      </c>
      <c r="D4" s="3">
        <v>1.504</v>
      </c>
      <c r="E4" s="3">
        <v>0.14000000000000001</v>
      </c>
      <c r="F4" s="3">
        <v>-57.875999999999998</v>
      </c>
      <c r="G4" s="3">
        <v>396.57600000000002</v>
      </c>
    </row>
    <row r="5" spans="1:7" x14ac:dyDescent="0.45">
      <c r="A5" t="s">
        <v>16</v>
      </c>
      <c r="B5" s="3">
        <v>-212.3331</v>
      </c>
      <c r="C5" s="3">
        <v>159.23400000000001</v>
      </c>
      <c r="D5" s="3">
        <v>-1.333</v>
      </c>
      <c r="E5" s="3">
        <v>0.19</v>
      </c>
      <c r="F5" s="3">
        <v>-533.67999999999995</v>
      </c>
      <c r="G5" s="3">
        <v>109.01300000000001</v>
      </c>
    </row>
    <row r="6" spans="1:7" x14ac:dyDescent="0.45">
      <c r="A6" t="s">
        <v>5</v>
      </c>
      <c r="B6" s="3">
        <v>19.113399999999999</v>
      </c>
      <c r="C6" s="3">
        <v>0.90300000000000002</v>
      </c>
      <c r="D6" s="3">
        <v>21.155999999999999</v>
      </c>
      <c r="E6" s="3">
        <v>0</v>
      </c>
      <c r="F6" s="3">
        <v>17.29</v>
      </c>
      <c r="G6" s="3">
        <v>20.937000000000001</v>
      </c>
    </row>
    <row r="7" spans="1:7" x14ac:dyDescent="0.45">
      <c r="A7" t="s">
        <v>17</v>
      </c>
      <c r="B7" s="3">
        <v>-7.4802999999999997</v>
      </c>
      <c r="C7" s="3">
        <v>1.278</v>
      </c>
      <c r="D7" s="3">
        <v>-5.8550000000000004</v>
      </c>
      <c r="E7" s="3">
        <v>0</v>
      </c>
      <c r="F7" s="3">
        <v>-10.058999999999999</v>
      </c>
      <c r="G7" s="3">
        <v>-4.9020000000000001</v>
      </c>
    </row>
    <row r="8" spans="1:7" x14ac:dyDescent="0.45">
      <c r="A8" t="s">
        <v>18</v>
      </c>
      <c r="B8" s="3">
        <v>18.572299999999998</v>
      </c>
      <c r="C8" s="3">
        <v>1.339</v>
      </c>
      <c r="D8" s="3">
        <v>13.865</v>
      </c>
      <c r="E8" s="3">
        <v>0</v>
      </c>
      <c r="F8" s="3">
        <v>15.869</v>
      </c>
      <c r="G8" s="3">
        <v>21.274999999999999</v>
      </c>
    </row>
    <row r="9" spans="1:7" x14ac:dyDescent="0.45">
      <c r="A9" t="s">
        <v>19</v>
      </c>
      <c r="B9" s="3">
        <v>-5.0651000000000002</v>
      </c>
      <c r="C9" s="3">
        <v>1.8939999999999999</v>
      </c>
      <c r="D9" s="3">
        <v>-2.6739999999999999</v>
      </c>
      <c r="E9" s="3">
        <v>1.0999999999999999E-2</v>
      </c>
      <c r="F9" s="3">
        <v>-8.8879999999999999</v>
      </c>
      <c r="G9" s="3">
        <v>-1.242</v>
      </c>
    </row>
    <row r="20" spans="5:7" x14ac:dyDescent="0.45">
      <c r="E20">
        <v>350</v>
      </c>
      <c r="F20">
        <v>70</v>
      </c>
    </row>
    <row r="21" spans="5:7" x14ac:dyDescent="0.45">
      <c r="G21">
        <f>E20*70/E22</f>
        <v>245</v>
      </c>
    </row>
    <row r="22" spans="5:7" x14ac:dyDescent="0.45">
      <c r="E22">
        <v>100</v>
      </c>
    </row>
    <row r="23" spans="5:7" x14ac:dyDescent="0.45">
      <c r="F23">
        <v>50</v>
      </c>
      <c r="G23">
        <f>E20*F23/E22</f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441A-4A26-41BD-8CB1-8EF3C8069D11}">
  <dimension ref="A1:E7"/>
  <sheetViews>
    <sheetView tabSelected="1" workbookViewId="0">
      <selection activeCell="F12" sqref="F12"/>
    </sheetView>
  </sheetViews>
  <sheetFormatPr defaultRowHeight="14.25" x14ac:dyDescent="0.45"/>
  <cols>
    <col min="1" max="1" width="32.796875" customWidth="1"/>
    <col min="2" max="2" width="13" customWidth="1"/>
    <col min="3" max="3" width="19.86328125" customWidth="1"/>
    <col min="4" max="4" width="13.86328125" customWidth="1"/>
  </cols>
  <sheetData>
    <row r="1" spans="1:5" x14ac:dyDescent="0.45">
      <c r="A1" t="s">
        <v>31</v>
      </c>
    </row>
    <row r="3" spans="1:5" x14ac:dyDescent="0.45">
      <c r="A3" t="s">
        <v>25</v>
      </c>
      <c r="B3" t="s">
        <v>24</v>
      </c>
      <c r="C3" t="s">
        <v>29</v>
      </c>
      <c r="D3" t="s">
        <v>33</v>
      </c>
      <c r="E3" t="s">
        <v>30</v>
      </c>
    </row>
    <row r="4" spans="1:5" x14ac:dyDescent="0.45">
      <c r="A4" t="s">
        <v>26</v>
      </c>
      <c r="B4" t="s">
        <v>28</v>
      </c>
      <c r="C4">
        <v>19.11</v>
      </c>
      <c r="D4" t="s">
        <v>32</v>
      </c>
      <c r="E4">
        <v>0.99</v>
      </c>
    </row>
    <row r="5" spans="1:5" x14ac:dyDescent="0.45">
      <c r="B5" t="s">
        <v>14</v>
      </c>
      <c r="C5">
        <v>11.63</v>
      </c>
    </row>
    <row r="6" spans="1:5" x14ac:dyDescent="0.45">
      <c r="A6" t="s">
        <v>27</v>
      </c>
      <c r="B6" t="s">
        <v>28</v>
      </c>
      <c r="C6">
        <v>37.68</v>
      </c>
    </row>
    <row r="7" spans="1:5" x14ac:dyDescent="0.45">
      <c r="B7" t="s">
        <v>14</v>
      </c>
      <c r="C7">
        <v>25.13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RAB</vt:lpstr>
      <vt:lpstr>macro-scale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Bukombe</dc:creator>
  <cp:lastModifiedBy>Benjamin Bukombe</cp:lastModifiedBy>
  <dcterms:created xsi:type="dcterms:W3CDTF">2026-06-02T18:57:33Z</dcterms:created>
  <dcterms:modified xsi:type="dcterms:W3CDTF">2026-06-03T12:09:51Z</dcterms:modified>
</cp:coreProperties>
</file>